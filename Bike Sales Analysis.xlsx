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8ABD531E-1812-4044-A547-0657C63CC4EB}" xr6:coauthVersionLast="47" xr6:coauthVersionMax="47" xr10:uidLastSave="{00000000-0000-0000-0000-000000000000}"/>
  <bookViews>
    <workbookView xWindow="-110" yWindow="490" windowWidth="19420" windowHeight="10420" activeTab="4" xr2:uid="{00000000-000D-0000-FFFF-FFFF00000000}"/>
  </bookViews>
  <sheets>
    <sheet name="Cover Text" sheetId="2" r:id="rId1"/>
    <sheet name="KPIs" sheetId="15" state="hidden" r:id="rId2"/>
    <sheet name="Analysis" sheetId="18" state="hidden" r:id="rId3"/>
    <sheet name="bike_buyers" sheetId="1" r:id="rId4"/>
    <sheet name="Dash Board" sheetId="16" r:id="rId5"/>
  </sheets>
  <definedNames>
    <definedName name="_xlnm._FilterDatabase" localSheetId="3" hidden="1">bike_buyers!$A$1:$M$1001</definedName>
    <definedName name="_xlcn.WorksheetConnection_bike_buyersAM1" hidden="1">bike_buyers!$A:$M</definedName>
    <definedName name="_xlcn.WorksheetConnection_BikeSalesAnalysis.xlsxTable21" hidden="1">Table2[]</definedName>
    <definedName name="Slicer_Commute_Distance">#N/A</definedName>
    <definedName name="Slicer_Income">#N/A</definedName>
    <definedName name="Slicer_Region">#N/A</definedName>
  </definedNames>
  <calcPr calcId="191029"/>
  <pivotCaches>
    <pivotCache cacheId="1055" r:id="rId6"/>
    <pivotCache cacheId="1056" r:id="rId7"/>
    <pivotCache cacheId="1057" r:id="rId8"/>
    <pivotCache cacheId="1058" r:id="rId9"/>
    <pivotCache cacheId="1139" r:id="rId10"/>
    <pivotCache cacheId="1153" r:id="rId11"/>
    <pivotCache cacheId="1406" r:id="rId12"/>
    <pivotCache cacheId="1409" r:id="rId13"/>
    <pivotCache cacheId="1412" r:id="rId14"/>
  </pivotCaches>
  <extLst>
    <ext xmlns:x14="http://schemas.microsoft.com/office/spreadsheetml/2009/9/main" uri="{876F7934-8845-4945-9796-88D515C7AA90}">
      <x14:pivotCaches>
        <pivotCache cacheId="1154"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Bike Sales Analysis.xlsx!Table2"/>
          <x15:modelTable id="Range" name="Range" connection="WorksheetConnection_bike_buyers!$A:$M"/>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4" i="1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7E1F0AC-4D1F-4867-AE63-EE4E5DF43273}" keepAlive="1" name="Query - bike_buyers" description="Connection to the 'bike_buyers' query in the workbook." type="5" refreshedVersion="0" background="1">
    <dbPr connection="Provider=Microsoft.Mashup.OleDb.1;Data Source=$Workbook$;Location=bike_buyers;Extended Properties=&quot;&quot;" command="SELECT * FROM [bike_buyers]"/>
  </connection>
  <connection id="2" xr16:uid="{C3EE7FF4-93D8-4546-BD46-6AE8D2C6221C}"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96B5B3EC-1D75-445C-932A-30E16B7FFB0C}" name="WorksheetConnection_Bike Sales Analysis.xlsx!Table2" type="102" refreshedVersion="7" minRefreshableVersion="5">
    <extLst>
      <ext xmlns:x15="http://schemas.microsoft.com/office/spreadsheetml/2010/11/main" uri="{DE250136-89BD-433C-8126-D09CA5730AF9}">
        <x15:connection id="Table2" autoDelete="1">
          <x15:rangePr sourceName="_xlcn.WorksheetConnection_BikeSalesAnalysis.xlsxTable21"/>
        </x15:connection>
      </ext>
    </extLst>
  </connection>
  <connection id="4" xr16:uid="{27F6A7DD-93C3-4D58-9425-B3528D4130B5}" name="WorksheetConnection_bike_buyers!$A:$M" type="102" refreshedVersion="7" minRefreshableVersion="5">
    <extLst>
      <ext xmlns:x15="http://schemas.microsoft.com/office/spreadsheetml/2010/11/main" uri="{DE250136-89BD-433C-8126-D09CA5730AF9}">
        <x15:connection id="Range" autoDelete="1">
          <x15:rangePr sourceName="_xlcn.WorksheetConnection_bike_buyersAM1"/>
        </x15:connection>
      </ext>
    </extLst>
  </connection>
</connections>
</file>

<file path=xl/sharedStrings.xml><?xml version="1.0" encoding="utf-8"?>
<sst xmlns="http://schemas.openxmlformats.org/spreadsheetml/2006/main" count="8081" uniqueCount="63">
  <si>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</si>
  <si>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</si>
  <si>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</si>
  <si>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</si>
  <si>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</si>
  <si>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</si>
  <si>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</si>
  <si>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</si>
  <si>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</si>
  <si>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</si>
  <si>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</si>
  <si>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</si>
  <si>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</si>
  <si>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</si>
  <si>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</si>
  <si>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</si>
  <si>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</si>
  <si>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</si>
  <si>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</si>
  <si>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</si>
  <si>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</si>
  <si>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</si>
  <si>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</si>
  <si>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</si>
  <si>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</si>
  <si>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</si>
  <si>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</si>
  <si>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</si>
  <si>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</si>
  <si>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</si>
  <si>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</si>
  <si>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</si>
  <si>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</si>
  <si>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</si>
  <si>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</si>
  <si>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</si>
  <si>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Mini Project: Interactive Dashboard &amp; Insights Generation</t>
  </si>
  <si>
    <t>Objective:</t>
  </si>
  <si>
    <r>
      <t xml:space="preserve">The </t>
    </r>
    <r>
      <rPr>
        <b/>
        <sz val="11"/>
        <color theme="1"/>
        <rFont val="Calibri"/>
        <family val="2"/>
        <scheme val="minor"/>
      </rPr>
      <t>Bike Store Manager</t>
    </r>
    <r>
      <rPr>
        <sz val="11"/>
        <color theme="1"/>
        <rFont val="Calibri"/>
        <family val="2"/>
        <scheme val="minor"/>
      </rPr>
      <t xml:space="preserve"> has requested an analytical report based on the dataset provided. Your task is to </t>
    </r>
    <r>
      <rPr>
        <b/>
        <sz val="11"/>
        <color theme="1"/>
        <rFont val="Calibri"/>
        <family val="2"/>
        <scheme val="minor"/>
      </rPr>
      <t>analyze the data</t>
    </r>
    <r>
      <rPr>
        <sz val="11"/>
        <color theme="1"/>
        <rFont val="Calibri"/>
        <family val="2"/>
        <scheme val="minor"/>
      </rPr>
      <t xml:space="preserve">, </t>
    </r>
    <r>
      <rPr>
        <b/>
        <sz val="11"/>
        <color theme="1"/>
        <rFont val="Calibri"/>
        <family val="2"/>
        <scheme val="minor"/>
      </rPr>
      <t>generate meaningful insights</t>
    </r>
    <r>
      <rPr>
        <sz val="11"/>
        <color theme="1"/>
        <rFont val="Calibri"/>
        <family val="2"/>
        <scheme val="minor"/>
      </rPr>
      <t xml:space="preserve">, and </t>
    </r>
    <r>
      <rPr>
        <b/>
        <sz val="11"/>
        <color theme="1"/>
        <rFont val="Calibri"/>
        <family val="2"/>
        <scheme val="minor"/>
      </rPr>
      <t>build an interactive dashboard in Excel</t>
    </r>
    <r>
      <rPr>
        <sz val="11"/>
        <color theme="1"/>
        <rFont val="Calibri"/>
        <family val="2"/>
        <scheme val="minor"/>
      </rPr>
      <t xml:space="preserve"> to present your findings effectively.</t>
    </r>
  </si>
  <si>
    <t>Instructions:</t>
  </si>
  <si>
    <r>
      <t>1. Understand the Dataset</t>
    </r>
    <r>
      <rPr>
        <sz val="11"/>
        <color theme="1"/>
        <rFont val="Calibri"/>
        <family val="2"/>
        <scheme val="minor"/>
      </rPr>
      <t xml:space="preserve"> – Explore the dataset, identify key columns, and determine important metrics relevant to bike purchasing trends.</t>
    </r>
  </si>
  <si>
    <r>
      <t>2. Data Cleaning</t>
    </r>
    <r>
      <rPr>
        <sz val="11"/>
        <color theme="1"/>
        <rFont val="Calibri"/>
        <family val="2"/>
        <scheme val="minor"/>
      </rPr>
      <t xml:space="preserve"> – Handle missing values, inconsistencies, and ensure data accuracy before proceeding with the analysis.</t>
    </r>
  </si>
  <si>
    <r>
      <t>3. Generate Insights</t>
    </r>
    <r>
      <rPr>
        <sz val="11"/>
        <color theme="1"/>
        <rFont val="Calibri"/>
        <family val="2"/>
        <scheme val="minor"/>
      </rPr>
      <t xml:space="preserve"> – Identify patterns such as:</t>
    </r>
  </si>
  <si>
    <t>How income level influences bike purchases.</t>
  </si>
  <si>
    <t>The impact of marital status, education, and occupation on bike sales.</t>
  </si>
  <si>
    <t>Trends based on region and commute distance.</t>
  </si>
  <si>
    <r>
      <t>4. Build an Interactive Dashboard</t>
    </r>
    <r>
      <rPr>
        <sz val="11"/>
        <color theme="1"/>
        <rFont val="Calibri"/>
        <family val="2"/>
        <scheme val="minor"/>
      </rPr>
      <t xml:space="preserve"> –</t>
    </r>
  </si>
  <si>
    <r>
      <t xml:space="preserve">Use </t>
    </r>
    <r>
      <rPr>
        <b/>
        <sz val="11"/>
        <color theme="1"/>
        <rFont val="Calibri"/>
        <family val="2"/>
        <scheme val="minor"/>
      </rPr>
      <t>Pivot Tables</t>
    </r>
    <r>
      <rPr>
        <sz val="11"/>
        <color theme="1"/>
        <rFont val="Calibri"/>
        <family val="2"/>
        <scheme val="minor"/>
      </rPr>
      <t xml:space="preserve">, </t>
    </r>
    <r>
      <rPr>
        <b/>
        <sz val="11"/>
        <color theme="1"/>
        <rFont val="Calibri"/>
        <family val="2"/>
        <scheme val="minor"/>
      </rPr>
      <t>Slicers</t>
    </r>
    <r>
      <rPr>
        <sz val="11"/>
        <color theme="1"/>
        <rFont val="Calibri"/>
        <family val="2"/>
        <scheme val="minor"/>
      </rPr>
      <t xml:space="preserve">, </t>
    </r>
    <r>
      <rPr>
        <b/>
        <sz val="11"/>
        <color theme="1"/>
        <rFont val="Calibri"/>
        <family val="2"/>
        <scheme val="minor"/>
      </rPr>
      <t>Charts</t>
    </r>
    <r>
      <rPr>
        <sz val="11"/>
        <color theme="1"/>
        <rFont val="Calibri"/>
        <family val="2"/>
        <scheme val="minor"/>
      </rPr>
      <t xml:space="preserve">, and </t>
    </r>
    <r>
      <rPr>
        <b/>
        <sz val="11"/>
        <color theme="1"/>
        <rFont val="Calibri"/>
        <family val="2"/>
        <scheme val="minor"/>
      </rPr>
      <t>Conditional Formatting</t>
    </r>
    <r>
      <rPr>
        <sz val="11"/>
        <color theme="1"/>
        <rFont val="Calibri"/>
        <family val="2"/>
        <scheme val="minor"/>
      </rPr>
      <t xml:space="preserve"> to make the report dynamic and visually insightful.</t>
    </r>
  </si>
  <si>
    <t>Ensure the dashboard is user-friendly for the manager to explore key metrics easily.</t>
  </si>
  <si>
    <r>
      <t>5. Summarize Findings</t>
    </r>
    <r>
      <rPr>
        <sz val="11"/>
        <color theme="1"/>
        <rFont val="Calibri"/>
        <family val="2"/>
        <scheme val="minor"/>
      </rPr>
      <t xml:space="preserve"> – Provide a brief </t>
    </r>
    <r>
      <rPr>
        <b/>
        <sz val="11"/>
        <color theme="1"/>
        <rFont val="Calibri"/>
        <family val="2"/>
        <scheme val="minor"/>
      </rPr>
      <t>report</t>
    </r>
    <r>
      <rPr>
        <sz val="11"/>
        <color theme="1"/>
        <rFont val="Calibri"/>
        <family val="2"/>
        <scheme val="minor"/>
      </rPr>
      <t xml:space="preserve"> highlighting key takeaways and business recommendations.</t>
    </r>
  </si>
  <si>
    <t>Expected Deliverables:</t>
  </si>
  <si>
    <r>
      <t xml:space="preserve">A </t>
    </r>
    <r>
      <rPr>
        <b/>
        <sz val="11"/>
        <color theme="1"/>
        <rFont val="Calibri"/>
        <family val="2"/>
        <scheme val="minor"/>
      </rPr>
      <t>cleaned and structured dataset</t>
    </r>
    <r>
      <rPr>
        <sz val="11"/>
        <color theme="1"/>
        <rFont val="Calibri"/>
        <family val="2"/>
        <scheme val="minor"/>
      </rPr>
      <t xml:space="preserve"> ready for analysis.</t>
    </r>
  </si>
  <si>
    <r>
      <t xml:space="preserve">An </t>
    </r>
    <r>
      <rPr>
        <b/>
        <sz val="11"/>
        <color theme="1"/>
        <rFont val="Calibri"/>
        <family val="2"/>
        <scheme val="minor"/>
      </rPr>
      <t>interactive Excel dashboard</t>
    </r>
    <r>
      <rPr>
        <sz val="11"/>
        <color theme="1"/>
        <rFont val="Calibri"/>
        <family val="2"/>
        <scheme val="minor"/>
      </rPr>
      <t xml:space="preserve"> summarizing the key trends and insights.</t>
    </r>
  </si>
  <si>
    <r>
      <t xml:space="preserve">A </t>
    </r>
    <r>
      <rPr>
        <b/>
        <sz val="11"/>
        <color theme="1"/>
        <rFont val="Calibri"/>
        <family val="2"/>
        <scheme val="minor"/>
      </rPr>
      <t>short report</t>
    </r>
    <r>
      <rPr>
        <sz val="11"/>
        <color theme="1"/>
        <rFont val="Calibri"/>
        <family val="2"/>
        <scheme val="minor"/>
      </rPr>
      <t xml:space="preserve"> explaining your findings and business implications.</t>
    </r>
  </si>
  <si>
    <r>
      <t xml:space="preserve">Make sure your dashboard is </t>
    </r>
    <r>
      <rPr>
        <b/>
        <sz val="11"/>
        <color theme="1"/>
        <rFont val="Calibri"/>
        <family val="2"/>
        <scheme val="minor"/>
      </rPr>
      <t>clear, visually appealing, and actionable</t>
    </r>
    <r>
      <rPr>
        <sz val="11"/>
        <color theme="1"/>
        <rFont val="Calibri"/>
        <family val="2"/>
        <scheme val="minor"/>
      </rPr>
      <t xml:space="preserve"> for decision-making. </t>
    </r>
    <r>
      <rPr>
        <b/>
        <sz val="11"/>
        <color theme="1"/>
        <rFont val="Calibri"/>
        <family val="2"/>
        <scheme val="minor"/>
      </rPr>
      <t>Best of luck! 🚀</t>
    </r>
  </si>
  <si>
    <t>Row Labels</t>
  </si>
  <si>
    <t>Grand Total</t>
  </si>
  <si>
    <t>Count of Purchased Bike</t>
  </si>
  <si>
    <t>Total Customers</t>
  </si>
  <si>
    <t>% Purchased Bike</t>
  </si>
  <si>
    <t>Average Income</t>
  </si>
  <si>
    <t>Bike Purchase</t>
  </si>
  <si>
    <t>Average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</si>
</sst>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5" formatCode="0.0"/>
    <numFmt numFmtId="166" formatCode="&quot;$&quot;#,##0"/>
    <numFmt numFmtId="170"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3.5"/>
      <color theme="1"/>
      <name val="Calibri"/>
      <family val="2"/>
      <scheme val="minor"/>
    </font>
    <font>
      <sz val="14"/>
      <color rgb="FF000000"/>
      <name val="Calibri"/>
      <family val="1"/>
      <scheme val="minor"/>
    </font>
    <font>
      <b/>
      <sz val="14"/>
      <color rgb="FF000000"/>
      <name val="Calibri"/>
      <family val="1"/>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64" fontId="0" fillId="0" borderId="0" xfId="0" applyNumberFormat="1"/>
    <xf numFmtId="0" fontId="18" fillId="0" borderId="0" xfId="0" applyFont="1"/>
    <xf numFmtId="0" fontId="19" fillId="33" borderId="0" xfId="0" applyFont="1" applyFill="1" applyAlignment="1">
      <alignment vertical="center" wrapText="1"/>
    </xf>
    <xf numFmtId="0" fontId="0" fillId="33" borderId="0" xfId="0" applyFill="1" applyAlignment="1">
      <alignment wrapText="1"/>
    </xf>
    <xf numFmtId="0" fontId="16" fillId="33" borderId="0" xfId="0" applyFont="1" applyFill="1" applyAlignment="1">
      <alignment wrapText="1"/>
    </xf>
    <xf numFmtId="0" fontId="0" fillId="33" borderId="0" xfId="0" applyFill="1" applyAlignment="1">
      <alignment horizontal="left" vertical="center" wrapText="1"/>
    </xf>
    <xf numFmtId="0" fontId="16" fillId="33" borderId="0" xfId="0" applyFont="1" applyFill="1" applyAlignment="1">
      <alignment horizontal="left" vertical="center" wrapText="1"/>
    </xf>
    <xf numFmtId="0"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70" fontId="0" fillId="0" borderId="0" xfId="0" applyNumberFormat="1"/>
    <xf numFmtId="0" fontId="20" fillId="0" borderId="0" xfId="0" applyFont="1"/>
    <xf numFmtId="0" fontId="21"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354A4D"/>
      <color rgb="FF354A73"/>
      <color rgb="FF1B263B"/>
      <color rgb="FFFF6B35"/>
      <color rgb="FFFF5B21"/>
      <color rgb="FFFF8A61"/>
      <color rgb="FF76D8B3"/>
      <color rgb="FF008080"/>
      <color rgb="FF581845"/>
      <color rgb="FF8E26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2.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owerPivotData" Target="model/item.data"/><Relationship Id="rId10" Type="http://schemas.openxmlformats.org/officeDocument/2006/relationships/pivotCacheDefinition" Target="pivotCache/pivotCacheDefinition5.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Analysis.xlsx]Analysis!PivotTable14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19050">
            <a:solidFill>
              <a:schemeClr val="lt1"/>
            </a:solidFill>
          </a:ln>
          <a:effectLst/>
        </c:spPr>
      </c:pivotFmt>
      <c:pivotFmt>
        <c:idx val="2"/>
        <c:spPr>
          <a:solidFill>
            <a:schemeClr val="bg2">
              <a:lumMod val="50000"/>
            </a:schemeClr>
          </a:solidFill>
          <a:ln w="19050">
            <a:solidFill>
              <a:schemeClr val="lt1"/>
            </a:solidFill>
          </a:ln>
          <a:effectLst/>
        </c:spPr>
      </c:pivotFmt>
    </c:pivotFmts>
    <c:plotArea>
      <c:layout/>
      <c:doughnutChart>
        <c:varyColors val="1"/>
        <c:ser>
          <c:idx val="0"/>
          <c:order val="0"/>
          <c:tx>
            <c:strRef>
              <c:f>Analysis!$B$3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2-725D-4011-9525-B01333DD59D9}"/>
              </c:ext>
            </c:extLst>
          </c:dPt>
          <c:dPt>
            <c:idx val="2"/>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3-725D-4011-9525-B01333DD59D9}"/>
              </c:ext>
            </c:extLst>
          </c:dPt>
          <c:cat>
            <c:strRef>
              <c:f>Analysis!$A$4:$A$7</c:f>
              <c:strCache>
                <c:ptCount val="3"/>
                <c:pt idx="0">
                  <c:v>Europe</c:v>
                </c:pt>
                <c:pt idx="1">
                  <c:v>North America</c:v>
                </c:pt>
                <c:pt idx="2">
                  <c:v>Pacific</c:v>
                </c:pt>
              </c:strCache>
            </c:strRef>
          </c:cat>
          <c:val>
            <c:numRef>
              <c:f>Analysis!$B$4:$B$7</c:f>
              <c:numCache>
                <c:formatCode>General</c:formatCode>
                <c:ptCount val="3"/>
                <c:pt idx="0">
                  <c:v>300</c:v>
                </c:pt>
                <c:pt idx="1">
                  <c:v>508</c:v>
                </c:pt>
                <c:pt idx="2">
                  <c:v>192</c:v>
                </c:pt>
              </c:numCache>
            </c:numRef>
          </c:val>
          <c:extLst>
            <c:ext xmlns:c16="http://schemas.microsoft.com/office/drawing/2014/chart" uri="{C3380CC4-5D6E-409C-BE32-E72D297353CC}">
              <c16:uniqueId val="{00000000-725D-4011-9525-B01333DD59D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Analysis.xlsx]Analysis!PivotTable15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a:t>
            </a:r>
            <a:r>
              <a:rPr lang="en-US" baseline="0"/>
              <a:t> by Income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Analysis!$B$11</c:f>
              <c:strCache>
                <c:ptCount val="1"/>
                <c:pt idx="0">
                  <c:v>Total</c:v>
                </c:pt>
              </c:strCache>
            </c:strRef>
          </c:tx>
          <c:spPr>
            <a:solidFill>
              <a:schemeClr val="accent1">
                <a:lumMod val="75000"/>
              </a:schemeClr>
            </a:solidFill>
            <a:ln>
              <a:noFill/>
            </a:ln>
            <a:effectLst/>
          </c:spPr>
          <c:invertIfNegative val="0"/>
          <c:cat>
            <c:strRef>
              <c:f>Analysis!$A$12:$A$28</c:f>
              <c:strCache>
                <c:ptCount val="16"/>
                <c:pt idx="0">
                  <c:v>60000</c:v>
                </c:pt>
                <c:pt idx="1">
                  <c:v>40000</c:v>
                </c:pt>
                <c:pt idx="2">
                  <c:v>30000</c:v>
                </c:pt>
                <c:pt idx="3">
                  <c:v>70000</c:v>
                </c:pt>
                <c:pt idx="4">
                  <c:v>80000</c:v>
                </c:pt>
                <c:pt idx="5">
                  <c:v>20000</c:v>
                </c:pt>
                <c:pt idx="6">
                  <c:v>10000</c:v>
                </c:pt>
                <c:pt idx="7">
                  <c:v>50000</c:v>
                </c:pt>
                <c:pt idx="8">
                  <c:v>90000</c:v>
                </c:pt>
                <c:pt idx="9">
                  <c:v>130000</c:v>
                </c:pt>
                <c:pt idx="10">
                  <c:v>100000</c:v>
                </c:pt>
                <c:pt idx="11">
                  <c:v>120000</c:v>
                </c:pt>
                <c:pt idx="12">
                  <c:v>110000</c:v>
                </c:pt>
                <c:pt idx="13">
                  <c:v>150000</c:v>
                </c:pt>
                <c:pt idx="14">
                  <c:v>170000</c:v>
                </c:pt>
                <c:pt idx="15">
                  <c:v>160000</c:v>
                </c:pt>
              </c:strCache>
            </c:strRef>
          </c:cat>
          <c:val>
            <c:numRef>
              <c:f>Analysis!$B$12:$B$28</c:f>
              <c:numCache>
                <c:formatCode>General</c:formatCode>
                <c:ptCount val="16"/>
                <c:pt idx="0">
                  <c:v>165</c:v>
                </c:pt>
                <c:pt idx="1">
                  <c:v>154</c:v>
                </c:pt>
                <c:pt idx="2">
                  <c:v>135</c:v>
                </c:pt>
                <c:pt idx="3">
                  <c:v>124</c:v>
                </c:pt>
                <c:pt idx="4">
                  <c:v>91</c:v>
                </c:pt>
                <c:pt idx="5">
                  <c:v>74</c:v>
                </c:pt>
                <c:pt idx="6">
                  <c:v>73</c:v>
                </c:pt>
                <c:pt idx="7">
                  <c:v>40</c:v>
                </c:pt>
                <c:pt idx="8">
                  <c:v>39</c:v>
                </c:pt>
                <c:pt idx="9">
                  <c:v>32</c:v>
                </c:pt>
                <c:pt idx="10">
                  <c:v>29</c:v>
                </c:pt>
                <c:pt idx="11">
                  <c:v>18</c:v>
                </c:pt>
                <c:pt idx="12">
                  <c:v>16</c:v>
                </c:pt>
                <c:pt idx="13">
                  <c:v>4</c:v>
                </c:pt>
                <c:pt idx="14">
                  <c:v>3</c:v>
                </c:pt>
                <c:pt idx="15">
                  <c:v>3</c:v>
                </c:pt>
              </c:numCache>
            </c:numRef>
          </c:val>
          <c:extLst>
            <c:ext xmlns:c16="http://schemas.microsoft.com/office/drawing/2014/chart" uri="{C3380CC4-5D6E-409C-BE32-E72D297353CC}">
              <c16:uniqueId val="{00000000-E9E7-49FE-B5A2-6FB8FE19CD66}"/>
            </c:ext>
          </c:extLst>
        </c:ser>
        <c:dLbls>
          <c:showLegendKey val="0"/>
          <c:showVal val="0"/>
          <c:showCatName val="0"/>
          <c:showSerName val="0"/>
          <c:showPercent val="0"/>
          <c:showBubbleSize val="0"/>
        </c:dLbls>
        <c:gapWidth val="219"/>
        <c:overlap val="-27"/>
        <c:axId val="562308703"/>
        <c:axId val="562302879"/>
      </c:barChart>
      <c:catAx>
        <c:axId val="56230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302879"/>
        <c:crosses val="autoZero"/>
        <c:auto val="1"/>
        <c:lblAlgn val="ctr"/>
        <c:lblOffset val="100"/>
        <c:noMultiLvlLbl val="0"/>
      </c:catAx>
      <c:valAx>
        <c:axId val="562302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308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Analysis.xlsx]Analysis!PivotTable16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a:t>
            </a:r>
            <a:r>
              <a:rPr lang="en-US" baseline="0"/>
              <a:t> by Commute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Analysis!$B$32</c:f>
              <c:strCache>
                <c:ptCount val="1"/>
                <c:pt idx="0">
                  <c:v>Total</c:v>
                </c:pt>
              </c:strCache>
            </c:strRef>
          </c:tx>
          <c:spPr>
            <a:solidFill>
              <a:schemeClr val="accent1">
                <a:lumMod val="75000"/>
              </a:schemeClr>
            </a:solidFill>
            <a:ln>
              <a:noFill/>
            </a:ln>
            <a:effectLst/>
          </c:spPr>
          <c:invertIfNegative val="0"/>
          <c:cat>
            <c:strRef>
              <c:f>Analysis!$A$33:$A$38</c:f>
              <c:strCache>
                <c:ptCount val="5"/>
                <c:pt idx="0">
                  <c:v>0-1 Miles</c:v>
                </c:pt>
                <c:pt idx="1">
                  <c:v>5-10 Miles</c:v>
                </c:pt>
                <c:pt idx="2">
                  <c:v>1-2 Miles</c:v>
                </c:pt>
                <c:pt idx="3">
                  <c:v>2-5 Miles</c:v>
                </c:pt>
                <c:pt idx="4">
                  <c:v>10+ Miles</c:v>
                </c:pt>
              </c:strCache>
            </c:strRef>
          </c:cat>
          <c:val>
            <c:numRef>
              <c:f>Analysis!$B$33:$B$38</c:f>
              <c:numCache>
                <c:formatCode>General</c:formatCode>
                <c:ptCount val="5"/>
                <c:pt idx="0">
                  <c:v>366</c:v>
                </c:pt>
                <c:pt idx="1">
                  <c:v>192</c:v>
                </c:pt>
                <c:pt idx="2">
                  <c:v>169</c:v>
                </c:pt>
                <c:pt idx="3">
                  <c:v>162</c:v>
                </c:pt>
                <c:pt idx="4">
                  <c:v>111</c:v>
                </c:pt>
              </c:numCache>
            </c:numRef>
          </c:val>
          <c:extLst>
            <c:ext xmlns:c16="http://schemas.microsoft.com/office/drawing/2014/chart" uri="{C3380CC4-5D6E-409C-BE32-E72D297353CC}">
              <c16:uniqueId val="{00000000-794E-41FC-82D1-578CB0E14BEF}"/>
            </c:ext>
          </c:extLst>
        </c:ser>
        <c:dLbls>
          <c:showLegendKey val="0"/>
          <c:showVal val="0"/>
          <c:showCatName val="0"/>
          <c:showSerName val="0"/>
          <c:showPercent val="0"/>
          <c:showBubbleSize val="0"/>
        </c:dLbls>
        <c:gapWidth val="182"/>
        <c:axId val="1495220863"/>
        <c:axId val="1495223359"/>
      </c:barChart>
      <c:catAx>
        <c:axId val="1495220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223359"/>
        <c:crosses val="autoZero"/>
        <c:auto val="1"/>
        <c:lblAlgn val="ctr"/>
        <c:lblOffset val="100"/>
        <c:noMultiLvlLbl val="0"/>
      </c:catAx>
      <c:valAx>
        <c:axId val="14952233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220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Analysis.xlsx]Analysis!PivotTable17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 by 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Analysis!$B$43</c:f>
              <c:strCache>
                <c:ptCount val="1"/>
                <c:pt idx="0">
                  <c:v>Total</c:v>
                </c:pt>
              </c:strCache>
            </c:strRef>
          </c:tx>
          <c:spPr>
            <a:solidFill>
              <a:schemeClr val="accent1"/>
            </a:solidFill>
            <a:ln>
              <a:noFill/>
            </a:ln>
            <a:effectLst/>
          </c:spPr>
          <c:invertIfNegative val="0"/>
          <c:cat>
            <c:strRef>
              <c:f>Analysis!$A$44:$A$49</c:f>
              <c:strCache>
                <c:ptCount val="5"/>
                <c:pt idx="0">
                  <c:v>Bachelors</c:v>
                </c:pt>
                <c:pt idx="1">
                  <c:v>Partial College</c:v>
                </c:pt>
                <c:pt idx="2">
                  <c:v>High School</c:v>
                </c:pt>
                <c:pt idx="3">
                  <c:v>Graduate Degree</c:v>
                </c:pt>
                <c:pt idx="4">
                  <c:v>Partial High School</c:v>
                </c:pt>
              </c:strCache>
            </c:strRef>
          </c:cat>
          <c:val>
            <c:numRef>
              <c:f>Analysis!$B$44:$B$49</c:f>
              <c:numCache>
                <c:formatCode>General</c:formatCode>
                <c:ptCount val="5"/>
                <c:pt idx="0">
                  <c:v>306</c:v>
                </c:pt>
                <c:pt idx="1">
                  <c:v>265</c:v>
                </c:pt>
                <c:pt idx="2">
                  <c:v>179</c:v>
                </c:pt>
                <c:pt idx="3">
                  <c:v>174</c:v>
                </c:pt>
                <c:pt idx="4">
                  <c:v>76</c:v>
                </c:pt>
              </c:numCache>
            </c:numRef>
          </c:val>
          <c:extLst>
            <c:ext xmlns:c16="http://schemas.microsoft.com/office/drawing/2014/chart" uri="{C3380CC4-5D6E-409C-BE32-E72D297353CC}">
              <c16:uniqueId val="{00000000-6F88-40B7-994E-971AF7D22BD9}"/>
            </c:ext>
          </c:extLst>
        </c:ser>
        <c:dLbls>
          <c:showLegendKey val="0"/>
          <c:showVal val="0"/>
          <c:showCatName val="0"/>
          <c:showSerName val="0"/>
          <c:showPercent val="0"/>
          <c:showBubbleSize val="0"/>
        </c:dLbls>
        <c:gapWidth val="219"/>
        <c:overlap val="-27"/>
        <c:axId val="70994063"/>
        <c:axId val="70991567"/>
      </c:barChart>
      <c:catAx>
        <c:axId val="7099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91567"/>
        <c:crosses val="autoZero"/>
        <c:auto val="1"/>
        <c:lblAlgn val="ctr"/>
        <c:lblOffset val="100"/>
        <c:noMultiLvlLbl val="0"/>
      </c:catAx>
      <c:valAx>
        <c:axId val="70991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94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Analysis.xlsx]Analysis!PivotTable14</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Purchase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1525210084033613"/>
                  <c:h val="9.3282495185012887E-2"/>
                </c:manualLayout>
              </c15:layout>
            </c:ext>
          </c:extLst>
        </c:dLbl>
      </c:pivotFmt>
      <c:pivotFmt>
        <c:idx val="9"/>
        <c:spPr>
          <a:solidFill>
            <a:schemeClr val="accent1">
              <a:lumMod val="75000"/>
            </a:schemeClr>
          </a:solidFill>
          <a:ln>
            <a:noFill/>
          </a:ln>
          <a:effectLst>
            <a:outerShdw blurRad="254000" sx="102000" sy="102000" algn="ctr" rotWithShape="0">
              <a:prstClr val="black">
                <a:alpha val="20000"/>
              </a:prstClr>
            </a:outerShdw>
          </a:effectLst>
        </c:spPr>
      </c:pivotFmt>
      <c:pivotFmt>
        <c:idx val="10"/>
        <c:spPr>
          <a:solidFill>
            <a:schemeClr val="accent3"/>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Analysis!$B$3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9D5-4F4E-A6ED-478A9A0CFD53}"/>
              </c:ext>
            </c:extLst>
          </c:dPt>
          <c:dPt>
            <c:idx val="1"/>
            <c:bubble3D val="0"/>
            <c:spPr>
              <a:solidFill>
                <a:schemeClr val="accent1">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9D5-4F4E-A6ED-478A9A0CFD5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9D5-4F4E-A6ED-478A9A0CFD53}"/>
              </c:ext>
            </c:extLst>
          </c:dPt>
          <c:dLbls>
            <c:dLbl>
              <c:idx val="0"/>
              <c:showLegendKey val="0"/>
              <c:showVal val="0"/>
              <c:showCatName val="0"/>
              <c:showSerName val="0"/>
              <c:showPercent val="1"/>
              <c:showBubbleSize val="0"/>
              <c:extLst>
                <c:ext xmlns:c15="http://schemas.microsoft.com/office/drawing/2012/chart" uri="{CE6537A1-D6FC-4f65-9D91-7224C49458BB}">
                  <c15:layout>
                    <c:manualLayout>
                      <c:w val="0.11525210084033613"/>
                      <c:h val="9.3282495185012887E-2"/>
                    </c:manualLayout>
                  </c15:layout>
                </c:ext>
                <c:ext xmlns:c16="http://schemas.microsoft.com/office/drawing/2014/chart" uri="{C3380CC4-5D6E-409C-BE32-E72D297353CC}">
                  <c16:uniqueId val="{00000001-99D5-4F4E-A6ED-478A9A0CFD53}"/>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Analysis!$A$4:$A$7</c:f>
              <c:strCache>
                <c:ptCount val="3"/>
                <c:pt idx="0">
                  <c:v>Europe</c:v>
                </c:pt>
                <c:pt idx="1">
                  <c:v>North America</c:v>
                </c:pt>
                <c:pt idx="2">
                  <c:v>Pacific</c:v>
                </c:pt>
              </c:strCache>
            </c:strRef>
          </c:cat>
          <c:val>
            <c:numRef>
              <c:f>Analysis!$B$4:$B$7</c:f>
              <c:numCache>
                <c:formatCode>General</c:formatCode>
                <c:ptCount val="3"/>
                <c:pt idx="0">
                  <c:v>300</c:v>
                </c:pt>
                <c:pt idx="1">
                  <c:v>508</c:v>
                </c:pt>
                <c:pt idx="2">
                  <c:v>192</c:v>
                </c:pt>
              </c:numCache>
            </c:numRef>
          </c:val>
          <c:extLst>
            <c:ext xmlns:c16="http://schemas.microsoft.com/office/drawing/2014/chart" uri="{C3380CC4-5D6E-409C-BE32-E72D297353CC}">
              <c16:uniqueId val="{00000006-99D5-4F4E-A6ED-478A9A0CFD53}"/>
            </c:ext>
          </c:extLst>
        </c:ser>
        <c:dLbls>
          <c:showLegendKey val="0"/>
          <c:showVal val="0"/>
          <c:showCatName val="0"/>
          <c:showSerName val="0"/>
          <c:showPercent val="1"/>
          <c:showBubbleSize val="0"/>
          <c:showLeaderLines val="1"/>
        </c:dLbls>
        <c:firstSliceAng val="22"/>
        <c:holeSize val="36"/>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Analysis.xlsx]Analysis!PivotTable15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a:t>
            </a:r>
            <a:r>
              <a:rPr lang="en-US" baseline="0"/>
              <a:t> by Income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Analysis!$B$11</c:f>
              <c:strCache>
                <c:ptCount val="1"/>
                <c:pt idx="0">
                  <c:v>Total</c:v>
                </c:pt>
              </c:strCache>
            </c:strRef>
          </c:tx>
          <c:spPr>
            <a:solidFill>
              <a:schemeClr val="accent1">
                <a:lumMod val="75000"/>
              </a:schemeClr>
            </a:solidFill>
            <a:ln>
              <a:noFill/>
            </a:ln>
            <a:effectLst/>
          </c:spPr>
          <c:invertIfNegative val="0"/>
          <c:cat>
            <c:strRef>
              <c:f>Analysis!$A$12:$A$28</c:f>
              <c:strCache>
                <c:ptCount val="16"/>
                <c:pt idx="0">
                  <c:v>60000</c:v>
                </c:pt>
                <c:pt idx="1">
                  <c:v>40000</c:v>
                </c:pt>
                <c:pt idx="2">
                  <c:v>30000</c:v>
                </c:pt>
                <c:pt idx="3">
                  <c:v>70000</c:v>
                </c:pt>
                <c:pt idx="4">
                  <c:v>80000</c:v>
                </c:pt>
                <c:pt idx="5">
                  <c:v>20000</c:v>
                </c:pt>
                <c:pt idx="6">
                  <c:v>10000</c:v>
                </c:pt>
                <c:pt idx="7">
                  <c:v>50000</c:v>
                </c:pt>
                <c:pt idx="8">
                  <c:v>90000</c:v>
                </c:pt>
                <c:pt idx="9">
                  <c:v>130000</c:v>
                </c:pt>
                <c:pt idx="10">
                  <c:v>100000</c:v>
                </c:pt>
                <c:pt idx="11">
                  <c:v>120000</c:v>
                </c:pt>
                <c:pt idx="12">
                  <c:v>110000</c:v>
                </c:pt>
                <c:pt idx="13">
                  <c:v>150000</c:v>
                </c:pt>
                <c:pt idx="14">
                  <c:v>170000</c:v>
                </c:pt>
                <c:pt idx="15">
                  <c:v>160000</c:v>
                </c:pt>
              </c:strCache>
            </c:strRef>
          </c:cat>
          <c:val>
            <c:numRef>
              <c:f>Analysis!$B$12:$B$28</c:f>
              <c:numCache>
                <c:formatCode>General</c:formatCode>
                <c:ptCount val="16"/>
                <c:pt idx="0">
                  <c:v>165</c:v>
                </c:pt>
                <c:pt idx="1">
                  <c:v>154</c:v>
                </c:pt>
                <c:pt idx="2">
                  <c:v>135</c:v>
                </c:pt>
                <c:pt idx="3">
                  <c:v>124</c:v>
                </c:pt>
                <c:pt idx="4">
                  <c:v>91</c:v>
                </c:pt>
                <c:pt idx="5">
                  <c:v>74</c:v>
                </c:pt>
                <c:pt idx="6">
                  <c:v>73</c:v>
                </c:pt>
                <c:pt idx="7">
                  <c:v>40</c:v>
                </c:pt>
                <c:pt idx="8">
                  <c:v>39</c:v>
                </c:pt>
                <c:pt idx="9">
                  <c:v>32</c:v>
                </c:pt>
                <c:pt idx="10">
                  <c:v>29</c:v>
                </c:pt>
                <c:pt idx="11">
                  <c:v>18</c:v>
                </c:pt>
                <c:pt idx="12">
                  <c:v>16</c:v>
                </c:pt>
                <c:pt idx="13">
                  <c:v>4</c:v>
                </c:pt>
                <c:pt idx="14">
                  <c:v>3</c:v>
                </c:pt>
                <c:pt idx="15">
                  <c:v>3</c:v>
                </c:pt>
              </c:numCache>
            </c:numRef>
          </c:val>
          <c:extLst>
            <c:ext xmlns:c16="http://schemas.microsoft.com/office/drawing/2014/chart" uri="{C3380CC4-5D6E-409C-BE32-E72D297353CC}">
              <c16:uniqueId val="{00000000-D360-4214-B2E4-C5F9B31E061A}"/>
            </c:ext>
          </c:extLst>
        </c:ser>
        <c:dLbls>
          <c:showLegendKey val="0"/>
          <c:showVal val="0"/>
          <c:showCatName val="0"/>
          <c:showSerName val="0"/>
          <c:showPercent val="0"/>
          <c:showBubbleSize val="0"/>
        </c:dLbls>
        <c:gapWidth val="219"/>
        <c:overlap val="-27"/>
        <c:axId val="562308703"/>
        <c:axId val="562302879"/>
      </c:barChart>
      <c:catAx>
        <c:axId val="56230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302879"/>
        <c:crosses val="autoZero"/>
        <c:auto val="1"/>
        <c:lblAlgn val="ctr"/>
        <c:lblOffset val="100"/>
        <c:noMultiLvlLbl val="0"/>
      </c:catAx>
      <c:valAx>
        <c:axId val="562302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308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Analysis.xlsx]Analysis!PivotTable16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a:t>
            </a:r>
            <a:r>
              <a:rPr lang="en-US" baseline="0"/>
              <a:t> by Commute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Analysis!$B$32</c:f>
              <c:strCache>
                <c:ptCount val="1"/>
                <c:pt idx="0">
                  <c:v>Total</c:v>
                </c:pt>
              </c:strCache>
            </c:strRef>
          </c:tx>
          <c:spPr>
            <a:solidFill>
              <a:schemeClr val="accent1">
                <a:lumMod val="75000"/>
              </a:schemeClr>
            </a:solidFill>
            <a:ln>
              <a:noFill/>
            </a:ln>
            <a:effectLst/>
          </c:spPr>
          <c:invertIfNegative val="0"/>
          <c:cat>
            <c:strRef>
              <c:f>Analysis!$A$33:$A$38</c:f>
              <c:strCache>
                <c:ptCount val="5"/>
                <c:pt idx="0">
                  <c:v>0-1 Miles</c:v>
                </c:pt>
                <c:pt idx="1">
                  <c:v>5-10 Miles</c:v>
                </c:pt>
                <c:pt idx="2">
                  <c:v>1-2 Miles</c:v>
                </c:pt>
                <c:pt idx="3">
                  <c:v>2-5 Miles</c:v>
                </c:pt>
                <c:pt idx="4">
                  <c:v>10+ Miles</c:v>
                </c:pt>
              </c:strCache>
            </c:strRef>
          </c:cat>
          <c:val>
            <c:numRef>
              <c:f>Analysis!$B$33:$B$38</c:f>
              <c:numCache>
                <c:formatCode>General</c:formatCode>
                <c:ptCount val="5"/>
                <c:pt idx="0">
                  <c:v>366</c:v>
                </c:pt>
                <c:pt idx="1">
                  <c:v>192</c:v>
                </c:pt>
                <c:pt idx="2">
                  <c:v>169</c:v>
                </c:pt>
                <c:pt idx="3">
                  <c:v>162</c:v>
                </c:pt>
                <c:pt idx="4">
                  <c:v>111</c:v>
                </c:pt>
              </c:numCache>
            </c:numRef>
          </c:val>
          <c:extLst>
            <c:ext xmlns:c16="http://schemas.microsoft.com/office/drawing/2014/chart" uri="{C3380CC4-5D6E-409C-BE32-E72D297353CC}">
              <c16:uniqueId val="{00000000-AB43-46E5-B8D5-0592B0465838}"/>
            </c:ext>
          </c:extLst>
        </c:ser>
        <c:dLbls>
          <c:showLegendKey val="0"/>
          <c:showVal val="0"/>
          <c:showCatName val="0"/>
          <c:showSerName val="0"/>
          <c:showPercent val="0"/>
          <c:showBubbleSize val="0"/>
        </c:dLbls>
        <c:gapWidth val="182"/>
        <c:axId val="1495220863"/>
        <c:axId val="1495223359"/>
      </c:barChart>
      <c:catAx>
        <c:axId val="1495220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223359"/>
        <c:crosses val="autoZero"/>
        <c:auto val="1"/>
        <c:lblAlgn val="ctr"/>
        <c:lblOffset val="100"/>
        <c:noMultiLvlLbl val="0"/>
      </c:catAx>
      <c:valAx>
        <c:axId val="14952233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220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hyperlink" Target="https://dulwlpaper.blogspot.com/2013/09/amazing-super-hd-bike-wallpapers.html" TargetMode="External"/><Relationship Id="rId1" Type="http://schemas.openxmlformats.org/officeDocument/2006/relationships/image" Target="../media/image1.jpeg"/><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260350</xdr:colOff>
      <xdr:row>0</xdr:row>
      <xdr:rowOff>1</xdr:rowOff>
    </xdr:from>
    <xdr:to>
      <xdr:col>13</xdr:col>
      <xdr:colOff>133350</xdr:colOff>
      <xdr:row>7</xdr:row>
      <xdr:rowOff>19051</xdr:rowOff>
    </xdr:to>
    <xdr:graphicFrame macro="">
      <xdr:nvGraphicFramePr>
        <xdr:cNvPr id="2" name="Chart 1">
          <a:extLst>
            <a:ext uri="{FF2B5EF4-FFF2-40B4-BE49-F238E27FC236}">
              <a16:creationId xmlns:a16="http://schemas.microsoft.com/office/drawing/2014/main" id="{5DC65F5F-D1D9-4911-9998-40AE3176B5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377825</xdr:colOff>
      <xdr:row>10</xdr:row>
      <xdr:rowOff>111125</xdr:rowOff>
    </xdr:from>
    <xdr:to>
      <xdr:col>23</xdr:col>
      <xdr:colOff>136525</xdr:colOff>
      <xdr:row>26</xdr:row>
      <xdr:rowOff>9525</xdr:rowOff>
    </xdr:to>
    <xdr:graphicFrame macro="">
      <xdr:nvGraphicFramePr>
        <xdr:cNvPr id="3" name="Chart 2">
          <a:extLst>
            <a:ext uri="{FF2B5EF4-FFF2-40B4-BE49-F238E27FC236}">
              <a16:creationId xmlns:a16="http://schemas.microsoft.com/office/drawing/2014/main" id="{EC06ECAF-E303-47C1-8307-115D9F3339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361950</xdr:colOff>
      <xdr:row>32</xdr:row>
      <xdr:rowOff>22225</xdr:rowOff>
    </xdr:from>
    <xdr:to>
      <xdr:col>23</xdr:col>
      <xdr:colOff>120650</xdr:colOff>
      <xdr:row>47</xdr:row>
      <xdr:rowOff>98425</xdr:rowOff>
    </xdr:to>
    <xdr:graphicFrame macro="">
      <xdr:nvGraphicFramePr>
        <xdr:cNvPr id="4" name="Chart 3">
          <a:extLst>
            <a:ext uri="{FF2B5EF4-FFF2-40B4-BE49-F238E27FC236}">
              <a16:creationId xmlns:a16="http://schemas.microsoft.com/office/drawing/2014/main" id="{02EBCBF1-9966-444F-AC69-FDF9E7F8A0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231775</xdr:colOff>
      <xdr:row>48</xdr:row>
      <xdr:rowOff>133350</xdr:rowOff>
    </xdr:from>
    <xdr:to>
      <xdr:col>22</xdr:col>
      <xdr:colOff>41275</xdr:colOff>
      <xdr:row>64</xdr:row>
      <xdr:rowOff>25400</xdr:rowOff>
    </xdr:to>
    <xdr:graphicFrame macro="">
      <xdr:nvGraphicFramePr>
        <xdr:cNvPr id="5" name="Chart 4">
          <a:extLst>
            <a:ext uri="{FF2B5EF4-FFF2-40B4-BE49-F238E27FC236}">
              <a16:creationId xmlns:a16="http://schemas.microsoft.com/office/drawing/2014/main" id="{D4B098E9-B2EF-47E4-A3EA-663F3186D8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19050</xdr:colOff>
      <xdr:row>4</xdr:row>
      <xdr:rowOff>139700</xdr:rowOff>
    </xdr:to>
    <xdr:grpSp>
      <xdr:nvGrpSpPr>
        <xdr:cNvPr id="32" name="Group 31">
          <a:extLst>
            <a:ext uri="{FF2B5EF4-FFF2-40B4-BE49-F238E27FC236}">
              <a16:creationId xmlns:a16="http://schemas.microsoft.com/office/drawing/2014/main" id="{6EEEBEF0-7D34-4BDB-BF4E-9B7DF86CE5B4}"/>
            </a:ext>
          </a:extLst>
        </xdr:cNvPr>
        <xdr:cNvGrpSpPr/>
      </xdr:nvGrpSpPr>
      <xdr:grpSpPr>
        <a:xfrm>
          <a:off x="0" y="0"/>
          <a:ext cx="7915137" cy="868570"/>
          <a:chOff x="0" y="0"/>
          <a:chExt cx="7943850" cy="850900"/>
        </a:xfrm>
      </xdr:grpSpPr>
      <xdr:sp macro="" textlink="">
        <xdr:nvSpPr>
          <xdr:cNvPr id="2" name="Rectangle: Rounded Corners 1">
            <a:extLst>
              <a:ext uri="{FF2B5EF4-FFF2-40B4-BE49-F238E27FC236}">
                <a16:creationId xmlns:a16="http://schemas.microsoft.com/office/drawing/2014/main" id="{6F69DC93-083B-4ED8-BB19-D9FA48486699}"/>
              </a:ext>
            </a:extLst>
          </xdr:cNvPr>
          <xdr:cNvSpPr/>
        </xdr:nvSpPr>
        <xdr:spPr>
          <a:xfrm>
            <a:off x="12700" y="0"/>
            <a:ext cx="7931150" cy="850900"/>
          </a:xfrm>
          <a:prstGeom prst="roundRect">
            <a:avLst>
              <a:gd name="adj" fmla="val 5319"/>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5" name="Picture 4">
            <a:extLst>
              <a:ext uri="{FF2B5EF4-FFF2-40B4-BE49-F238E27FC236}">
                <a16:creationId xmlns:a16="http://schemas.microsoft.com/office/drawing/2014/main" id="{CF29A8FA-6A5D-4355-BBC2-22FAF0BF23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0" y="0"/>
            <a:ext cx="3060700" cy="850900"/>
          </a:xfrm>
          <a:prstGeom prst="rect">
            <a:avLst/>
          </a:prstGeom>
        </xdr:spPr>
      </xdr:pic>
      <xdr:sp macro="" textlink="">
        <xdr:nvSpPr>
          <xdr:cNvPr id="10" name="TextBox 9">
            <a:extLst>
              <a:ext uri="{FF2B5EF4-FFF2-40B4-BE49-F238E27FC236}">
                <a16:creationId xmlns:a16="http://schemas.microsoft.com/office/drawing/2014/main" id="{40531DEE-A236-48A5-9CAD-D17D4780772C}"/>
              </a:ext>
            </a:extLst>
          </xdr:cNvPr>
          <xdr:cNvSpPr txBox="1"/>
        </xdr:nvSpPr>
        <xdr:spPr>
          <a:xfrm>
            <a:off x="3302894" y="152400"/>
            <a:ext cx="4596505" cy="584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chemeClr val="bg1"/>
                </a:solidFill>
              </a:rPr>
              <a:t>BIKE SALES ANALYSIS</a:t>
            </a:r>
          </a:p>
        </xdr:txBody>
      </xdr:sp>
    </xdr:grpSp>
    <xdr:clientData/>
  </xdr:twoCellAnchor>
  <xdr:twoCellAnchor>
    <xdr:from>
      <xdr:col>0</xdr:col>
      <xdr:colOff>0</xdr:colOff>
      <xdr:row>5</xdr:row>
      <xdr:rowOff>25400</xdr:rowOff>
    </xdr:from>
    <xdr:to>
      <xdr:col>3</xdr:col>
      <xdr:colOff>95250</xdr:colOff>
      <xdr:row>8</xdr:row>
      <xdr:rowOff>165100</xdr:rowOff>
    </xdr:to>
    <xdr:grpSp>
      <xdr:nvGrpSpPr>
        <xdr:cNvPr id="36" name="Group 35">
          <a:extLst>
            <a:ext uri="{FF2B5EF4-FFF2-40B4-BE49-F238E27FC236}">
              <a16:creationId xmlns:a16="http://schemas.microsoft.com/office/drawing/2014/main" id="{D5C8439F-52C8-406D-B8B9-435070B169AF}"/>
            </a:ext>
          </a:extLst>
        </xdr:cNvPr>
        <xdr:cNvGrpSpPr/>
      </xdr:nvGrpSpPr>
      <xdr:grpSpPr>
        <a:xfrm>
          <a:off x="0" y="936487"/>
          <a:ext cx="1917424" cy="686352"/>
          <a:chOff x="0" y="914400"/>
          <a:chExt cx="1924050" cy="673100"/>
        </a:xfrm>
      </xdr:grpSpPr>
      <xdr:sp macro="" textlink="">
        <xdr:nvSpPr>
          <xdr:cNvPr id="3" name="Rectangle: Rounded Corners 2">
            <a:extLst>
              <a:ext uri="{FF2B5EF4-FFF2-40B4-BE49-F238E27FC236}">
                <a16:creationId xmlns:a16="http://schemas.microsoft.com/office/drawing/2014/main" id="{3401AF90-931E-411A-87B4-9388DAA314AB}"/>
              </a:ext>
            </a:extLst>
          </xdr:cNvPr>
          <xdr:cNvSpPr/>
        </xdr:nvSpPr>
        <xdr:spPr>
          <a:xfrm>
            <a:off x="0" y="914400"/>
            <a:ext cx="1924050" cy="673100"/>
          </a:xfrm>
          <a:prstGeom prst="roundRect">
            <a:avLst>
              <a:gd name="adj" fmla="val 5319"/>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 name="TextBox 10">
            <a:extLst>
              <a:ext uri="{FF2B5EF4-FFF2-40B4-BE49-F238E27FC236}">
                <a16:creationId xmlns:a16="http://schemas.microsoft.com/office/drawing/2014/main" id="{711B5232-FC7B-40FC-B3B5-2E3EEF143EC1}"/>
              </a:ext>
            </a:extLst>
          </xdr:cNvPr>
          <xdr:cNvSpPr txBox="1"/>
        </xdr:nvSpPr>
        <xdr:spPr>
          <a:xfrm>
            <a:off x="57150" y="946150"/>
            <a:ext cx="17526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Total</a:t>
            </a:r>
            <a:r>
              <a:rPr lang="en-US" sz="1100" baseline="0">
                <a:solidFill>
                  <a:schemeClr val="bg1"/>
                </a:solidFill>
              </a:rPr>
              <a:t> Customers</a:t>
            </a:r>
          </a:p>
          <a:p>
            <a:endParaRPr lang="en-US" sz="1100"/>
          </a:p>
        </xdr:txBody>
      </xdr:sp>
      <xdr:sp macro="" textlink="">
        <xdr:nvSpPr>
          <xdr:cNvPr id="17" name="TextBox 16">
            <a:extLst>
              <a:ext uri="{FF2B5EF4-FFF2-40B4-BE49-F238E27FC236}">
                <a16:creationId xmlns:a16="http://schemas.microsoft.com/office/drawing/2014/main" id="{E454EE93-CCC1-433F-91F1-D2128CC583D0}"/>
              </a:ext>
            </a:extLst>
          </xdr:cNvPr>
          <xdr:cNvSpPr txBox="1"/>
        </xdr:nvSpPr>
        <xdr:spPr>
          <a:xfrm>
            <a:off x="355600" y="1162050"/>
            <a:ext cx="8382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chemeClr val="bg1"/>
                </a:solidFill>
              </a:rPr>
              <a:t>1000</a:t>
            </a:r>
          </a:p>
        </xdr:txBody>
      </xdr:sp>
    </xdr:grpSp>
    <xdr:clientData/>
  </xdr:twoCellAnchor>
  <xdr:twoCellAnchor>
    <xdr:from>
      <xdr:col>3</xdr:col>
      <xdr:colOff>133350</xdr:colOff>
      <xdr:row>5</xdr:row>
      <xdr:rowOff>6350</xdr:rowOff>
    </xdr:from>
    <xdr:to>
      <xdr:col>6</xdr:col>
      <xdr:colOff>241300</xdr:colOff>
      <xdr:row>9</xdr:row>
      <xdr:rowOff>0</xdr:rowOff>
    </xdr:to>
    <xdr:grpSp>
      <xdr:nvGrpSpPr>
        <xdr:cNvPr id="35" name="Group 34">
          <a:extLst>
            <a:ext uri="{FF2B5EF4-FFF2-40B4-BE49-F238E27FC236}">
              <a16:creationId xmlns:a16="http://schemas.microsoft.com/office/drawing/2014/main" id="{0E37CA23-7580-4222-B8ED-C56484A3841B}"/>
            </a:ext>
          </a:extLst>
        </xdr:cNvPr>
        <xdr:cNvGrpSpPr/>
      </xdr:nvGrpSpPr>
      <xdr:grpSpPr>
        <a:xfrm>
          <a:off x="1955524" y="917437"/>
          <a:ext cx="1930124" cy="722520"/>
          <a:chOff x="1962150" y="895350"/>
          <a:chExt cx="1936750" cy="704850"/>
        </a:xfrm>
      </xdr:grpSpPr>
      <xdr:sp macro="" textlink="">
        <xdr:nvSpPr>
          <xdr:cNvPr id="7" name="Rectangle: Rounded Corners 6">
            <a:extLst>
              <a:ext uri="{FF2B5EF4-FFF2-40B4-BE49-F238E27FC236}">
                <a16:creationId xmlns:a16="http://schemas.microsoft.com/office/drawing/2014/main" id="{DBD812C4-7CE3-479C-8653-C2762B7EB5C6}"/>
              </a:ext>
            </a:extLst>
          </xdr:cNvPr>
          <xdr:cNvSpPr/>
        </xdr:nvSpPr>
        <xdr:spPr>
          <a:xfrm>
            <a:off x="1962150" y="895350"/>
            <a:ext cx="1936750" cy="704850"/>
          </a:xfrm>
          <a:prstGeom prst="roundRect">
            <a:avLst>
              <a:gd name="adj" fmla="val 5319"/>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 name="TextBox 13">
            <a:extLst>
              <a:ext uri="{FF2B5EF4-FFF2-40B4-BE49-F238E27FC236}">
                <a16:creationId xmlns:a16="http://schemas.microsoft.com/office/drawing/2014/main" id="{32D21DD4-6646-49F8-A56F-DA105AD5A7A3}"/>
              </a:ext>
            </a:extLst>
          </xdr:cNvPr>
          <xdr:cNvSpPr txBox="1"/>
        </xdr:nvSpPr>
        <xdr:spPr>
          <a:xfrm>
            <a:off x="2127250" y="946150"/>
            <a:ext cx="144145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 Purchased Bike</a:t>
            </a:r>
          </a:p>
        </xdr:txBody>
      </xdr:sp>
      <xdr:sp macro="" textlink="">
        <xdr:nvSpPr>
          <xdr:cNvPr id="19" name="TextBox 18">
            <a:extLst>
              <a:ext uri="{FF2B5EF4-FFF2-40B4-BE49-F238E27FC236}">
                <a16:creationId xmlns:a16="http://schemas.microsoft.com/office/drawing/2014/main" id="{BB9F365C-D342-438E-872E-996641B62077}"/>
              </a:ext>
            </a:extLst>
          </xdr:cNvPr>
          <xdr:cNvSpPr txBox="1"/>
        </xdr:nvSpPr>
        <xdr:spPr>
          <a:xfrm>
            <a:off x="2374900" y="1155700"/>
            <a:ext cx="116205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chemeClr val="bg1"/>
                </a:solidFill>
              </a:rPr>
              <a:t>48.1%</a:t>
            </a:r>
          </a:p>
        </xdr:txBody>
      </xdr:sp>
    </xdr:grpSp>
    <xdr:clientData/>
  </xdr:twoCellAnchor>
  <xdr:twoCellAnchor>
    <xdr:from>
      <xdr:col>6</xdr:col>
      <xdr:colOff>279400</xdr:colOff>
      <xdr:row>5</xdr:row>
      <xdr:rowOff>0</xdr:rowOff>
    </xdr:from>
    <xdr:to>
      <xdr:col>9</xdr:col>
      <xdr:colOff>406400</xdr:colOff>
      <xdr:row>9</xdr:row>
      <xdr:rowOff>0</xdr:rowOff>
    </xdr:to>
    <xdr:grpSp>
      <xdr:nvGrpSpPr>
        <xdr:cNvPr id="34" name="Group 33">
          <a:extLst>
            <a:ext uri="{FF2B5EF4-FFF2-40B4-BE49-F238E27FC236}">
              <a16:creationId xmlns:a16="http://schemas.microsoft.com/office/drawing/2014/main" id="{18DEFDFA-59D1-4CAB-BA14-7D73D06B9A62}"/>
            </a:ext>
          </a:extLst>
        </xdr:cNvPr>
        <xdr:cNvGrpSpPr/>
      </xdr:nvGrpSpPr>
      <xdr:grpSpPr>
        <a:xfrm>
          <a:off x="3923748" y="911087"/>
          <a:ext cx="1949174" cy="728870"/>
          <a:chOff x="3937000" y="889000"/>
          <a:chExt cx="1955800" cy="711200"/>
        </a:xfrm>
      </xdr:grpSpPr>
      <xdr:sp macro="" textlink="">
        <xdr:nvSpPr>
          <xdr:cNvPr id="8" name="Rectangle: Rounded Corners 7">
            <a:extLst>
              <a:ext uri="{FF2B5EF4-FFF2-40B4-BE49-F238E27FC236}">
                <a16:creationId xmlns:a16="http://schemas.microsoft.com/office/drawing/2014/main" id="{5BEC2A86-31C5-4959-BF20-42491BC856C7}"/>
              </a:ext>
            </a:extLst>
          </xdr:cNvPr>
          <xdr:cNvSpPr/>
        </xdr:nvSpPr>
        <xdr:spPr>
          <a:xfrm>
            <a:off x="3937000" y="889000"/>
            <a:ext cx="1955800" cy="711200"/>
          </a:xfrm>
          <a:prstGeom prst="roundRect">
            <a:avLst>
              <a:gd name="adj" fmla="val 5319"/>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5" name="TextBox 14">
            <a:extLst>
              <a:ext uri="{FF2B5EF4-FFF2-40B4-BE49-F238E27FC236}">
                <a16:creationId xmlns:a16="http://schemas.microsoft.com/office/drawing/2014/main" id="{84E92E47-C400-46ED-8078-04F450882441}"/>
              </a:ext>
            </a:extLst>
          </xdr:cNvPr>
          <xdr:cNvSpPr txBox="1"/>
        </xdr:nvSpPr>
        <xdr:spPr>
          <a:xfrm>
            <a:off x="4038600" y="927100"/>
            <a:ext cx="16002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Avg Income (Buyers)</a:t>
            </a:r>
          </a:p>
        </xdr:txBody>
      </xdr:sp>
      <xdr:sp macro="" textlink="">
        <xdr:nvSpPr>
          <xdr:cNvPr id="20" name="TextBox 19">
            <a:extLst>
              <a:ext uri="{FF2B5EF4-FFF2-40B4-BE49-F238E27FC236}">
                <a16:creationId xmlns:a16="http://schemas.microsoft.com/office/drawing/2014/main" id="{9BBBEB5A-4F5D-4C79-80A8-A0409880414E}"/>
              </a:ext>
            </a:extLst>
          </xdr:cNvPr>
          <xdr:cNvSpPr txBox="1"/>
        </xdr:nvSpPr>
        <xdr:spPr>
          <a:xfrm>
            <a:off x="4267200" y="1123950"/>
            <a:ext cx="12255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chemeClr val="bg1"/>
                </a:solidFill>
              </a:rPr>
              <a:t>$</a:t>
            </a:r>
            <a:r>
              <a:rPr lang="en-US" sz="2400">
                <a:solidFill>
                  <a:schemeClr val="bg1"/>
                </a:solidFill>
                <a:latin typeface="+mn-lt"/>
                <a:ea typeface="+mn-ea"/>
                <a:cs typeface="+mn-cs"/>
              </a:rPr>
              <a:t>57,963</a:t>
            </a:r>
          </a:p>
        </xdr:txBody>
      </xdr:sp>
    </xdr:grpSp>
    <xdr:clientData/>
  </xdr:twoCellAnchor>
  <xdr:twoCellAnchor>
    <xdr:from>
      <xdr:col>9</xdr:col>
      <xdr:colOff>444500</xdr:colOff>
      <xdr:row>5</xdr:row>
      <xdr:rowOff>0</xdr:rowOff>
    </xdr:from>
    <xdr:to>
      <xdr:col>12</xdr:col>
      <xdr:colOff>590550</xdr:colOff>
      <xdr:row>9</xdr:row>
      <xdr:rowOff>0</xdr:rowOff>
    </xdr:to>
    <xdr:grpSp>
      <xdr:nvGrpSpPr>
        <xdr:cNvPr id="33" name="Group 32">
          <a:extLst>
            <a:ext uri="{FF2B5EF4-FFF2-40B4-BE49-F238E27FC236}">
              <a16:creationId xmlns:a16="http://schemas.microsoft.com/office/drawing/2014/main" id="{0302F594-632B-4D3C-ADAE-9F425923BD2A}"/>
            </a:ext>
          </a:extLst>
        </xdr:cNvPr>
        <xdr:cNvGrpSpPr/>
      </xdr:nvGrpSpPr>
      <xdr:grpSpPr>
        <a:xfrm>
          <a:off x="5911022" y="911087"/>
          <a:ext cx="1968224" cy="728870"/>
          <a:chOff x="5930900" y="889000"/>
          <a:chExt cx="1974850" cy="711200"/>
        </a:xfrm>
      </xdr:grpSpPr>
      <xdr:sp macro="" textlink="">
        <xdr:nvSpPr>
          <xdr:cNvPr id="9" name="Rectangle: Rounded Corners 8">
            <a:extLst>
              <a:ext uri="{FF2B5EF4-FFF2-40B4-BE49-F238E27FC236}">
                <a16:creationId xmlns:a16="http://schemas.microsoft.com/office/drawing/2014/main" id="{3C2B4028-5EFD-406C-A256-F18D6B1F2D78}"/>
              </a:ext>
            </a:extLst>
          </xdr:cNvPr>
          <xdr:cNvSpPr/>
        </xdr:nvSpPr>
        <xdr:spPr>
          <a:xfrm>
            <a:off x="5930900" y="889000"/>
            <a:ext cx="1974850" cy="711200"/>
          </a:xfrm>
          <a:prstGeom prst="roundRect">
            <a:avLst>
              <a:gd name="adj" fmla="val 5319"/>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 name="TextBox 15">
            <a:extLst>
              <a:ext uri="{FF2B5EF4-FFF2-40B4-BE49-F238E27FC236}">
                <a16:creationId xmlns:a16="http://schemas.microsoft.com/office/drawing/2014/main" id="{4DD99B14-1FA5-46EB-8C6A-34A1D1803142}"/>
              </a:ext>
            </a:extLst>
          </xdr:cNvPr>
          <xdr:cNvSpPr txBox="1"/>
        </xdr:nvSpPr>
        <xdr:spPr>
          <a:xfrm>
            <a:off x="6134100" y="952500"/>
            <a:ext cx="15811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Avg Age (Buyers)</a:t>
            </a:r>
          </a:p>
        </xdr:txBody>
      </xdr:sp>
      <xdr:sp macro="" textlink="">
        <xdr:nvSpPr>
          <xdr:cNvPr id="21" name="TextBox 20">
            <a:extLst>
              <a:ext uri="{FF2B5EF4-FFF2-40B4-BE49-F238E27FC236}">
                <a16:creationId xmlns:a16="http://schemas.microsoft.com/office/drawing/2014/main" id="{FFA8EEAA-F270-4A2B-986A-6B674D9611AC}"/>
              </a:ext>
            </a:extLst>
          </xdr:cNvPr>
          <xdr:cNvSpPr txBox="1"/>
        </xdr:nvSpPr>
        <xdr:spPr>
          <a:xfrm>
            <a:off x="6343650" y="1162050"/>
            <a:ext cx="122555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chemeClr val="bg1"/>
                </a:solidFill>
              </a:rPr>
              <a:t>42.9</a:t>
            </a:r>
          </a:p>
        </xdr:txBody>
      </xdr:sp>
    </xdr:grpSp>
    <xdr:clientData/>
  </xdr:twoCellAnchor>
  <xdr:twoCellAnchor>
    <xdr:from>
      <xdr:col>2</xdr:col>
      <xdr:colOff>533400</xdr:colOff>
      <xdr:row>9</xdr:row>
      <xdr:rowOff>69851</xdr:rowOff>
    </xdr:from>
    <xdr:to>
      <xdr:col>7</xdr:col>
      <xdr:colOff>508000</xdr:colOff>
      <xdr:row>20</xdr:row>
      <xdr:rowOff>114300</xdr:rowOff>
    </xdr:to>
    <xdr:graphicFrame macro="">
      <xdr:nvGraphicFramePr>
        <xdr:cNvPr id="22" name="Chart 21">
          <a:extLst>
            <a:ext uri="{FF2B5EF4-FFF2-40B4-BE49-F238E27FC236}">
              <a16:creationId xmlns:a16="http://schemas.microsoft.com/office/drawing/2014/main" id="{40DC2905-6AD0-4EF5-BBB7-C4CBD481D9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577850</xdr:colOff>
      <xdr:row>9</xdr:row>
      <xdr:rowOff>63500</xdr:rowOff>
    </xdr:from>
    <xdr:to>
      <xdr:col>13</xdr:col>
      <xdr:colOff>12700</xdr:colOff>
      <xdr:row>20</xdr:row>
      <xdr:rowOff>95250</xdr:rowOff>
    </xdr:to>
    <xdr:graphicFrame macro="">
      <xdr:nvGraphicFramePr>
        <xdr:cNvPr id="23" name="Chart 22">
          <a:extLst>
            <a:ext uri="{FF2B5EF4-FFF2-40B4-BE49-F238E27FC236}">
              <a16:creationId xmlns:a16="http://schemas.microsoft.com/office/drawing/2014/main" id="{DFBA050D-CDDB-459F-B4F5-951A10EB9B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520700</xdr:colOff>
      <xdr:row>21</xdr:row>
      <xdr:rowOff>0</xdr:rowOff>
    </xdr:from>
    <xdr:to>
      <xdr:col>7</xdr:col>
      <xdr:colOff>539750</xdr:colOff>
      <xdr:row>31</xdr:row>
      <xdr:rowOff>165100</xdr:rowOff>
    </xdr:to>
    <xdr:graphicFrame macro="">
      <xdr:nvGraphicFramePr>
        <xdr:cNvPr id="24" name="Chart 23">
          <a:extLst>
            <a:ext uri="{FF2B5EF4-FFF2-40B4-BE49-F238E27FC236}">
              <a16:creationId xmlns:a16="http://schemas.microsoft.com/office/drawing/2014/main" id="{64BCE803-FD28-4811-BD9F-E25A0EF5D7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9</xdr:row>
      <xdr:rowOff>44451</xdr:rowOff>
    </xdr:from>
    <xdr:to>
      <xdr:col>2</xdr:col>
      <xdr:colOff>431800</xdr:colOff>
      <xdr:row>15</xdr:row>
      <xdr:rowOff>31751</xdr:rowOff>
    </xdr:to>
    <mc:AlternateContent xmlns:mc="http://schemas.openxmlformats.org/markup-compatibility/2006">
      <mc:Choice xmlns:a14="http://schemas.microsoft.com/office/drawing/2010/main" Requires="a14">
        <xdr:graphicFrame macro="">
          <xdr:nvGraphicFramePr>
            <xdr:cNvPr id="27" name="Region">
              <a:extLst>
                <a:ext uri="{FF2B5EF4-FFF2-40B4-BE49-F238E27FC236}">
                  <a16:creationId xmlns:a16="http://schemas.microsoft.com/office/drawing/2014/main" id="{4D1D9863-EE87-4102-87AD-5E6EA7734A5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684408"/>
              <a:ext cx="1646583" cy="10806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133350</xdr:rowOff>
    </xdr:from>
    <xdr:to>
      <xdr:col>2</xdr:col>
      <xdr:colOff>425450</xdr:colOff>
      <xdr:row>22</xdr:row>
      <xdr:rowOff>184149</xdr:rowOff>
    </xdr:to>
    <mc:AlternateContent xmlns:mc="http://schemas.openxmlformats.org/markup-compatibility/2006">
      <mc:Choice xmlns:a14="http://schemas.microsoft.com/office/drawing/2010/main" Requires="a14">
        <xdr:graphicFrame macro="">
          <xdr:nvGraphicFramePr>
            <xdr:cNvPr id="28" name="Income">
              <a:extLst>
                <a:ext uri="{FF2B5EF4-FFF2-40B4-BE49-F238E27FC236}">
                  <a16:creationId xmlns:a16="http://schemas.microsoft.com/office/drawing/2014/main" id="{4BF9ADFF-E881-4322-A5B6-7396D8E7FF4A}"/>
                </a:ext>
              </a:extLst>
            </xdr:cNvPr>
            <xdr:cNvGraphicFramePr/>
          </xdr:nvGraphicFramePr>
          <xdr:xfrm>
            <a:off x="0" y="0"/>
            <a:ext cx="0" cy="0"/>
          </xdr:xfrm>
          <a:graphic>
            <a:graphicData uri="http://schemas.microsoft.com/office/drawing/2010/slicer">
              <sle:slicer xmlns:sle="http://schemas.microsoft.com/office/drawing/2010/slicer" name="Income"/>
            </a:graphicData>
          </a:graphic>
        </xdr:graphicFrame>
      </mc:Choice>
      <mc:Fallback>
        <xdr:sp macro="" textlink="">
          <xdr:nvSpPr>
            <xdr:cNvPr id="0" name=""/>
            <xdr:cNvSpPr>
              <a:spLocks noTextEdit="1"/>
            </xdr:cNvSpPr>
          </xdr:nvSpPr>
          <xdr:spPr>
            <a:xfrm>
              <a:off x="0" y="2866611"/>
              <a:ext cx="1640233" cy="13263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107950</xdr:rowOff>
    </xdr:from>
    <xdr:to>
      <xdr:col>2</xdr:col>
      <xdr:colOff>444500</xdr:colOff>
      <xdr:row>31</xdr:row>
      <xdr:rowOff>120649</xdr:rowOff>
    </xdr:to>
    <mc:AlternateContent xmlns:mc="http://schemas.openxmlformats.org/markup-compatibility/2006">
      <mc:Choice xmlns:a14="http://schemas.microsoft.com/office/drawing/2010/main" Requires="a14">
        <xdr:graphicFrame macro="">
          <xdr:nvGraphicFramePr>
            <xdr:cNvPr id="29" name="Commute Distance">
              <a:extLst>
                <a:ext uri="{FF2B5EF4-FFF2-40B4-BE49-F238E27FC236}">
                  <a16:creationId xmlns:a16="http://schemas.microsoft.com/office/drawing/2014/main" id="{9ABEEA2E-7831-41AD-8E4C-C4731BA9DACE}"/>
                </a:ext>
              </a:extLst>
            </xdr:cNvPr>
            <xdr:cNvGraphicFramePr/>
          </xdr:nvGraphicFramePr>
          <xdr:xfrm>
            <a:off x="0" y="0"/>
            <a:ext cx="0" cy="0"/>
          </xdr:xfrm>
          <a:graphic>
            <a:graphicData uri="http://schemas.microsoft.com/office/drawing/2010/slicer">
              <sle:slicer xmlns:sle="http://schemas.microsoft.com/office/drawing/2010/slicer" name="Commute Distance"/>
            </a:graphicData>
          </a:graphic>
        </xdr:graphicFrame>
      </mc:Choice>
      <mc:Fallback>
        <xdr:sp macro="" textlink="">
          <xdr:nvSpPr>
            <xdr:cNvPr id="0" name=""/>
            <xdr:cNvSpPr>
              <a:spLocks noTextEdit="1"/>
            </xdr:cNvSpPr>
          </xdr:nvSpPr>
          <xdr:spPr>
            <a:xfrm>
              <a:off x="0" y="4298950"/>
              <a:ext cx="1659283" cy="14704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584200</xdr:colOff>
      <xdr:row>21</xdr:row>
      <xdr:rowOff>6350</xdr:rowOff>
    </xdr:from>
    <xdr:to>
      <xdr:col>13</xdr:col>
      <xdr:colOff>6350</xdr:colOff>
      <xdr:row>31</xdr:row>
      <xdr:rowOff>171450</xdr:rowOff>
    </xdr:to>
    <xdr:sp macro="" textlink="">
      <xdr:nvSpPr>
        <xdr:cNvPr id="31" name="TextBox 30">
          <a:extLst>
            <a:ext uri="{FF2B5EF4-FFF2-40B4-BE49-F238E27FC236}">
              <a16:creationId xmlns:a16="http://schemas.microsoft.com/office/drawing/2014/main" id="{87FECB96-452C-43D4-83E0-1DB1D0325342}"/>
            </a:ext>
          </a:extLst>
        </xdr:cNvPr>
        <xdr:cNvSpPr txBox="1"/>
      </xdr:nvSpPr>
      <xdr:spPr>
        <a:xfrm>
          <a:off x="4851400" y="3740150"/>
          <a:ext cx="3079750" cy="194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300">
              <a:solidFill>
                <a:schemeClr val="tx1">
                  <a:lumMod val="65000"/>
                  <a:lumOff val="35000"/>
                </a:schemeClr>
              </a:solidFill>
              <a:latin typeface="Calibri" panose="020F0502020204030204" pitchFamily="34" charset="0"/>
              <a:cs typeface="Calibri" panose="020F0502020204030204" pitchFamily="34" charset="0"/>
            </a:rPr>
            <a:t>Key Insights</a:t>
          </a:r>
        </a:p>
        <a:p>
          <a:pPr algn="l"/>
          <a:r>
            <a:rPr lang="en-US" sz="1300">
              <a:solidFill>
                <a:schemeClr val="tx1">
                  <a:lumMod val="65000"/>
                  <a:lumOff val="35000"/>
                </a:schemeClr>
              </a:solidFill>
              <a:latin typeface="Calibri" panose="020F0502020204030204" pitchFamily="34" charset="0"/>
              <a:cs typeface="Calibri" panose="020F0502020204030204" pitchFamily="34" charset="0"/>
            </a:rPr>
            <a:t>• Bike purchases account for 48% of total customers.</a:t>
          </a:r>
        </a:p>
        <a:p>
          <a:pPr marL="0" marR="0" lvl="0" indent="0" algn="l" defTabSz="914400" eaLnBrk="1" fontAlgn="auto" latinLnBrk="0" hangingPunct="1">
            <a:lnSpc>
              <a:spcPct val="100000"/>
            </a:lnSpc>
            <a:spcBef>
              <a:spcPts val="0"/>
            </a:spcBef>
            <a:spcAft>
              <a:spcPts val="0"/>
            </a:spcAft>
            <a:buClrTx/>
            <a:buSzTx/>
            <a:buFontTx/>
            <a:buNone/>
            <a:tabLst/>
            <a:defRPr/>
          </a:pPr>
          <a:r>
            <a:rPr lang="en-US" sz="1300">
              <a:solidFill>
                <a:schemeClr val="tx1">
                  <a:lumMod val="65000"/>
                  <a:lumOff val="35000"/>
                </a:schemeClr>
              </a:solidFill>
              <a:latin typeface="Calibri" panose="020F0502020204030204" pitchFamily="34" charset="0"/>
              <a:cs typeface="Calibri" panose="020F0502020204030204" pitchFamily="34" charset="0"/>
            </a:rPr>
            <a:t>•Buyers are younger and earn more, indicating</a:t>
          </a:r>
          <a:r>
            <a:rPr lang="en-US" sz="1300" baseline="0">
              <a:solidFill>
                <a:schemeClr val="tx1">
                  <a:lumMod val="65000"/>
                  <a:lumOff val="35000"/>
                </a:schemeClr>
              </a:solidFill>
              <a:latin typeface="Calibri" panose="020F0502020204030204" pitchFamily="34" charset="0"/>
              <a:cs typeface="Calibri" panose="020F0502020204030204" pitchFamily="34" charset="0"/>
            </a:rPr>
            <a:t> that income level and age influence purchase decisions.</a:t>
          </a:r>
        </a:p>
        <a:p>
          <a:pPr marL="0" marR="0" lvl="0" indent="0" algn="l" defTabSz="914400" eaLnBrk="1" fontAlgn="auto" latinLnBrk="0" hangingPunct="1">
            <a:lnSpc>
              <a:spcPct val="100000"/>
            </a:lnSpc>
            <a:spcBef>
              <a:spcPts val="0"/>
            </a:spcBef>
            <a:spcAft>
              <a:spcPts val="0"/>
            </a:spcAft>
            <a:buClrTx/>
            <a:buSzTx/>
            <a:buFontTx/>
            <a:buNone/>
            <a:tabLst/>
            <a:defRPr/>
          </a:pPr>
          <a:r>
            <a:rPr lang="en-US" sz="1300" baseline="0">
              <a:solidFill>
                <a:schemeClr val="tx1">
                  <a:lumMod val="65000"/>
                  <a:lumOff val="35000"/>
                </a:schemeClr>
              </a:solidFill>
              <a:effectLst/>
              <a:latin typeface="Calibri" panose="020F0502020204030204" pitchFamily="34" charset="0"/>
              <a:cs typeface="Calibri" panose="020F0502020204030204" pitchFamily="34" charset="0"/>
            </a:rPr>
            <a:t>•North America and short-distance commuters drive the highest purchases</a:t>
          </a:r>
          <a:r>
            <a:rPr lang="en-US" sz="1400" baseline="0">
              <a:solidFill>
                <a:schemeClr val="tx1">
                  <a:lumMod val="65000"/>
                  <a:lumOff val="35000"/>
                </a:schemeClr>
              </a:solidFill>
              <a:effectLst/>
              <a:latin typeface="Calibri" panose="020F0502020204030204" pitchFamily="34" charset="0"/>
              <a:cs typeface="Calibri" panose="020F0502020204030204" pitchFamily="34" charset="0"/>
            </a:rPr>
            <a:t>.</a:t>
          </a:r>
          <a:endParaRPr lang="en-US" sz="1400">
            <a:solidFill>
              <a:schemeClr val="tx1">
                <a:lumMod val="65000"/>
                <a:lumOff val="35000"/>
              </a:schemeClr>
            </a:solidFill>
            <a:effectLst/>
            <a:latin typeface="Calibri" panose="020F0502020204030204" pitchFamily="34" charset="0"/>
            <a:cs typeface="Calibri" panose="020F0502020204030204" pitchFamily="34"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5.012636458334" backgroundQuery="1" createdVersion="7" refreshedVersion="7" minRefreshableVersion="3" recordCount="0" supportSubquery="1" supportAdvancedDrill="1" xr:uid="{9298D384-FEE8-4E5A-A12F-872B13AB66E1}">
  <cacheSource type="external" connectionId="2"/>
  <cacheFields count="2">
    <cacheField name="[Table2].[Purchased Bike].[Purchased Bike]" caption="Purchased Bike" numFmtId="0" hierarchy="25" level="1">
      <sharedItems count="2">
        <s v="No"/>
        <s v="Yes"/>
      </sharedItems>
    </cacheField>
    <cacheField name="[Measures].[Count of Purchased Bike]" caption="Count of Purchased Bike" numFmtId="0" hierarchy="35" level="32767"/>
  </cacheFields>
  <cacheHierarchies count="41">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Purchased Bike]" caption="Purchased Bike" attribute="1" defaultMemberUniqueName="[Range].[Purchased Bike].[All]" allUniqueName="[Range].[Purchased Bike].[All]" dimensionUniqueName="[Range]" displayFolder="" count="0" memberValueDatatype="130" unbalanced="0"/>
    <cacheHierarchy uniqueName="[Table2].[ID]" caption="ID" attribute="1" defaultMemberUniqueName="[Table2].[ID].[All]" allUniqueName="[Table2].[ID].[All]" dimensionUniqueName="[Table2]" displayFolder="" count="0" memberValueDatatype="20" unbalanced="0"/>
    <cacheHierarchy uniqueName="[Table2].[Marital Status]" caption="Marital Status" attribute="1" defaultMemberUniqueName="[Table2].[Marital Status].[All]" allUniqueName="[Table2].[Marital Status].[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Income]" caption="Income" attribute="1" defaultMemberUniqueName="[Table2].[Income].[All]" allUniqueName="[Table2].[Income].[All]" dimensionUniqueName="[Table2]" displayFolder="" count="0" memberValueDatatype="20" unbalanced="0"/>
    <cacheHierarchy uniqueName="[Table2].[Children]" caption="Children" attribute="1" defaultMemberUniqueName="[Table2].[Children].[All]" allUniqueName="[Table2].[Children].[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130" unbalanced="0"/>
    <cacheHierarchy uniqueName="[Table2].[Occupation]" caption="Occupation" attribute="1" defaultMemberUniqueName="[Table2].[Occupation].[All]" allUniqueName="[Table2].[Occupation].[All]" dimensionUniqueName="[Table2]" displayFolder="" count="0" memberValueDatatype="130" unbalanced="0"/>
    <cacheHierarchy uniqueName="[Table2].[Home Owner]" caption="Home Owner" attribute="1" defaultMemberUniqueName="[Table2].[Home Owner].[All]" allUniqueName="[Table2].[Home Owner].[All]" dimensionUniqueName="[Table2]" displayFolder="" count="0" memberValueDatatype="130" unbalanced="0"/>
    <cacheHierarchy uniqueName="[Table2].[Cars]" caption="Cars" attribute="1" defaultMemberUniqueName="[Table2].[Cars].[All]" allUniqueName="[Table2].[Cars].[All]" dimensionUniqueName="[Table2]" displayFolder="" count="0" memberValueDatatype="20" unbalanced="0"/>
    <cacheHierarchy uniqueName="[Table2].[Commute Distance]" caption="Commute Distance" attribute="1" defaultMemberUniqueName="[Table2].[Commute Distance].[All]" allUniqueName="[Table2].[Commute Distance].[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Purchased Bike]" caption="Purchased Bike" attribute="1" defaultMemberUniqueName="[Table2].[Purchased Bike].[All]" allUniqueName="[Table2].[Purchased Bike].[All]" dimensionUniqueName="[Table2]" displayFolder="" count="2" memberValueDatatype="130" unbalanced="0">
      <fieldsUsage count="2">
        <fieldUsage x="-1"/>
        <fieldUsage x="0"/>
      </fieldsUsage>
    </cacheHierarchy>
    <cacheHierarchy uniqueName="[Measures].[__XL_Count Table2]" caption="__XL_Count Table2" measure="1" displayFolder="" measureGroup="Table2"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Table2" count="0" hidden="1">
      <extLst>
        <ext xmlns:x15="http://schemas.microsoft.com/office/spreadsheetml/2010/11/main" uri="{B97F6D7D-B522-45F9-BDA1-12C45D357490}">
          <x15:cacheHierarchy aggregatedColumn="13"/>
        </ext>
      </extLst>
    </cacheHierarchy>
    <cacheHierarchy uniqueName="[Measures].[Count of ID]" caption="Count of ID" measure="1" displayFolder="" measureGroup="Table2" count="0" hidden="1">
      <extLst>
        <ext xmlns:x15="http://schemas.microsoft.com/office/spreadsheetml/2010/11/main" uri="{B97F6D7D-B522-45F9-BDA1-12C45D357490}">
          <x15:cacheHierarchy aggregatedColumn="13"/>
        </ext>
      </extLst>
    </cacheHierarchy>
    <cacheHierarchy uniqueName="[Measures].[Sum of Income]" caption="Sum of Income" measure="1" displayFolder="" measureGroup="Table2" count="0" hidden="1">
      <extLst>
        <ext xmlns:x15="http://schemas.microsoft.com/office/spreadsheetml/2010/11/main" uri="{B97F6D7D-B522-45F9-BDA1-12C45D357490}">
          <x15:cacheHierarchy aggregatedColumn="16"/>
        </ext>
      </extLst>
    </cacheHierarchy>
    <cacheHierarchy uniqueName="[Measures].[Average of Income]" caption="Average of Income" measure="1" displayFolder="" measureGroup="Table2" count="0" hidden="1">
      <extLst>
        <ext xmlns:x15="http://schemas.microsoft.com/office/spreadsheetml/2010/11/main" uri="{B97F6D7D-B522-45F9-BDA1-12C45D357490}">
          <x15:cacheHierarchy aggregatedColumn="16"/>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able2" count="0" hidden="1">
      <extLst>
        <ext xmlns:x15="http://schemas.microsoft.com/office/spreadsheetml/2010/11/main" uri="{B97F6D7D-B522-45F9-BDA1-12C45D357490}">
          <x15:cacheHierarchy aggregatedColumn="24"/>
        </ext>
      </extLst>
    </cacheHierarchy>
    <cacheHierarchy uniqueName="[Measures].[Count of Purchased Bike]" caption="Count of Purchased Bike" measure="1" displayFolder="" measureGroup="Table2"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Occupation]" caption="Count of Occupation" measure="1" displayFolder="" measureGroup="Range" count="0" hidden="1">
      <extLst>
        <ext xmlns:x15="http://schemas.microsoft.com/office/spreadsheetml/2010/11/main" uri="{B97F6D7D-B522-45F9-BDA1-12C45D357490}">
          <x15:cacheHierarchy aggregatedColumn="6"/>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10"/>
        </ext>
      </extLst>
    </cacheHierarchy>
    <cacheHierarchy uniqueName="[Measures].[Min of Region]" caption="Min of Region" measure="1" displayFolder="" measureGroup="Range" count="0" hidden="1">
      <extLst>
        <ext xmlns:x15="http://schemas.microsoft.com/office/spreadsheetml/2010/11/main" uri="{B97F6D7D-B522-45F9-BDA1-12C45D357490}">
          <x15:cacheHierarchy aggregatedColumn="10"/>
        </ext>
      </extLst>
    </cacheHierarchy>
    <cacheHierarchy uniqueName="[Measures].[Count of Purchased Bike 2]" caption="Count of Purchased Bike 2" measure="1" displayFolder="" measureGroup="Range" count="0" hidden="1">
      <extLst>
        <ext xmlns:x15="http://schemas.microsoft.com/office/spreadsheetml/2010/11/main" uri="{B97F6D7D-B522-45F9-BDA1-12C45D357490}">
          <x15:cacheHierarchy aggregatedColumn="12"/>
        </ext>
      </extLst>
    </cacheHierarchy>
    <cacheHierarchy uniqueName="[Measures].[Sum of Income 2]" caption="Sum of Income 2" measure="1" displayFolder="" measureGroup="Range"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4.957390162039" backgroundQuery="1" createdVersion="7" refreshedVersion="7" minRefreshableVersion="3" recordCount="0" supportSubquery="1" supportAdvancedDrill="1" xr:uid="{E7766B6A-4425-4ECD-8211-6BBA655BD1DD}">
  <cacheSource type="external" connectionId="2"/>
  <cacheFields count="2">
    <cacheField name="[Measures].[Average of Age]" caption="Average of Age" numFmtId="0" hierarchy="34" level="32767"/>
    <cacheField name="[Table2].[Purchased Bike].[Purchased Bike]" caption="Purchased Bike" numFmtId="0" hierarchy="25" level="1">
      <sharedItems count="2">
        <s v="No"/>
        <s v="Yes"/>
      </sharedItems>
    </cacheField>
  </cacheFields>
  <cacheHierarchies count="41">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Purchased Bike]" caption="Purchased Bike" attribute="1" defaultMemberUniqueName="[Range].[Purchased Bike].[All]" allUniqueName="[Range].[Purchased Bike].[All]" dimensionUniqueName="[Range]" displayFolder="" count="0" memberValueDatatype="130" unbalanced="0"/>
    <cacheHierarchy uniqueName="[Table2].[ID]" caption="ID" attribute="1" defaultMemberUniqueName="[Table2].[ID].[All]" allUniqueName="[Table2].[ID].[All]" dimensionUniqueName="[Table2]" displayFolder="" count="0" memberValueDatatype="20" unbalanced="0"/>
    <cacheHierarchy uniqueName="[Table2].[Marital Status]" caption="Marital Status" attribute="1" defaultMemberUniqueName="[Table2].[Marital Status].[All]" allUniqueName="[Table2].[Marital Status].[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Income]" caption="Income" attribute="1" defaultMemberUniqueName="[Table2].[Income].[All]" allUniqueName="[Table2].[Income].[All]" dimensionUniqueName="[Table2]" displayFolder="" count="0" memberValueDatatype="20" unbalanced="0"/>
    <cacheHierarchy uniqueName="[Table2].[Children]" caption="Children" attribute="1" defaultMemberUniqueName="[Table2].[Children].[All]" allUniqueName="[Table2].[Children].[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130" unbalanced="0"/>
    <cacheHierarchy uniqueName="[Table2].[Occupation]" caption="Occupation" attribute="1" defaultMemberUniqueName="[Table2].[Occupation].[All]" allUniqueName="[Table2].[Occupation].[All]" dimensionUniqueName="[Table2]" displayFolder="" count="0" memberValueDatatype="130" unbalanced="0"/>
    <cacheHierarchy uniqueName="[Table2].[Home Owner]" caption="Home Owner" attribute="1" defaultMemberUniqueName="[Table2].[Home Owner].[All]" allUniqueName="[Table2].[Home Owner].[All]" dimensionUniqueName="[Table2]" displayFolder="" count="0" memberValueDatatype="130" unbalanced="0"/>
    <cacheHierarchy uniqueName="[Table2].[Cars]" caption="Cars" attribute="1" defaultMemberUniqueName="[Table2].[Cars].[All]" allUniqueName="[Table2].[Cars].[All]" dimensionUniqueName="[Table2]" displayFolder="" count="0" memberValueDatatype="20" unbalanced="0"/>
    <cacheHierarchy uniqueName="[Table2].[Commute Distance]" caption="Commute Distance" attribute="1" defaultMemberUniqueName="[Table2].[Commute Distance].[All]" allUniqueName="[Table2].[Commute Distance].[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Purchased Bike]" caption="Purchased Bike" attribute="1" defaultMemberUniqueName="[Table2].[Purchased Bike].[All]" allUniqueName="[Table2].[Purchased Bike].[All]" dimensionUniqueName="[Table2]" displayFolder="" count="2" memberValueDatatype="130" unbalanced="0">
      <fieldsUsage count="2">
        <fieldUsage x="-1"/>
        <fieldUsage x="1"/>
      </fieldsUsage>
    </cacheHierarchy>
    <cacheHierarchy uniqueName="[Measures].[__XL_Count Table2]" caption="__XL_Count Table2" measure="1" displayFolder="" measureGroup="Table2"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Table2" count="0" hidden="1">
      <extLst>
        <ext xmlns:x15="http://schemas.microsoft.com/office/spreadsheetml/2010/11/main" uri="{B97F6D7D-B522-45F9-BDA1-12C45D357490}">
          <x15:cacheHierarchy aggregatedColumn="13"/>
        </ext>
      </extLst>
    </cacheHierarchy>
    <cacheHierarchy uniqueName="[Measures].[Count of ID]" caption="Count of ID" measure="1" displayFolder="" measureGroup="Table2" count="0" hidden="1">
      <extLst>
        <ext xmlns:x15="http://schemas.microsoft.com/office/spreadsheetml/2010/11/main" uri="{B97F6D7D-B522-45F9-BDA1-12C45D357490}">
          <x15:cacheHierarchy aggregatedColumn="13"/>
        </ext>
      </extLst>
    </cacheHierarchy>
    <cacheHierarchy uniqueName="[Measures].[Sum of Income]" caption="Sum of Income" measure="1" displayFolder="" measureGroup="Table2" count="0" hidden="1">
      <extLst>
        <ext xmlns:x15="http://schemas.microsoft.com/office/spreadsheetml/2010/11/main" uri="{B97F6D7D-B522-45F9-BDA1-12C45D357490}">
          <x15:cacheHierarchy aggregatedColumn="16"/>
        </ext>
      </extLst>
    </cacheHierarchy>
    <cacheHierarchy uniqueName="[Measures].[Average of Income]" caption="Average of Income" measure="1" displayFolder="" measureGroup="Table2" count="0" hidden="1">
      <extLst>
        <ext xmlns:x15="http://schemas.microsoft.com/office/spreadsheetml/2010/11/main" uri="{B97F6D7D-B522-45F9-BDA1-12C45D357490}">
          <x15:cacheHierarchy aggregatedColumn="16"/>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able2" count="0" oneField="1" hidden="1">
      <fieldsUsage count="1">
        <fieldUsage x="0"/>
      </fieldsUsage>
      <extLst>
        <ext xmlns:x15="http://schemas.microsoft.com/office/spreadsheetml/2010/11/main" uri="{B97F6D7D-B522-45F9-BDA1-12C45D357490}">
          <x15:cacheHierarchy aggregatedColumn="24"/>
        </ext>
      </extLst>
    </cacheHierarchy>
    <cacheHierarchy uniqueName="[Measures].[Count of Purchased Bike]" caption="Count of Purchased Bike" measure="1" displayFolder="" measureGroup="Table2" count="0" hidden="1">
      <extLst>
        <ext xmlns:x15="http://schemas.microsoft.com/office/spreadsheetml/2010/11/main" uri="{B97F6D7D-B522-45F9-BDA1-12C45D357490}">
          <x15:cacheHierarchy aggregatedColumn="25"/>
        </ext>
      </extLst>
    </cacheHierarchy>
    <cacheHierarchy uniqueName="[Measures].[Count of Occupation]" caption="Count of Occupation" measure="1" displayFolder="" measureGroup="Range" count="0" hidden="1">
      <extLst>
        <ext xmlns:x15="http://schemas.microsoft.com/office/spreadsheetml/2010/11/main" uri="{B97F6D7D-B522-45F9-BDA1-12C45D357490}">
          <x15:cacheHierarchy aggregatedColumn="6"/>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10"/>
        </ext>
      </extLst>
    </cacheHierarchy>
    <cacheHierarchy uniqueName="[Measures].[Min of Region]" caption="Min of Region" measure="1" displayFolder="" measureGroup="Range" count="0" hidden="1">
      <extLst>
        <ext xmlns:x15="http://schemas.microsoft.com/office/spreadsheetml/2010/11/main" uri="{B97F6D7D-B522-45F9-BDA1-12C45D357490}">
          <x15:cacheHierarchy aggregatedColumn="10"/>
        </ext>
      </extLst>
    </cacheHierarchy>
    <cacheHierarchy uniqueName="[Measures].[Count of Purchased Bike 2]" caption="Count of Purchased Bike 2" measure="1" displayFolder="" measureGroup="Range" count="0" hidden="1">
      <extLst>
        <ext xmlns:x15="http://schemas.microsoft.com/office/spreadsheetml/2010/11/main" uri="{B97F6D7D-B522-45F9-BDA1-12C45D357490}">
          <x15:cacheHierarchy aggregatedColumn="12"/>
        </ext>
      </extLst>
    </cacheHierarchy>
    <cacheHierarchy uniqueName="[Measures].[Sum of Income 2]" caption="Sum of Income 2" measure="1" displayFolder="" measureGroup="Range"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4.953443865743" backgroundQuery="1" createdVersion="7" refreshedVersion="7" minRefreshableVersion="3" recordCount="0" supportSubquery="1" supportAdvancedDrill="1" xr:uid="{9F9E7540-2779-446C-A3CD-A4835A866A18}">
  <cacheSource type="external" connectionId="2"/>
  <cacheFields count="2">
    <cacheField name="[Measures].[Average of Income]" caption="Average of Income" numFmtId="0" hierarchy="32" level="32767"/>
    <cacheField name="[Table2].[Purchased Bike].[Purchased Bike]" caption="Purchased Bike" numFmtId="0" hierarchy="25" level="1">
      <sharedItems count="2">
        <s v="No"/>
        <s v="Yes"/>
      </sharedItems>
    </cacheField>
  </cacheFields>
  <cacheHierarchies count="41">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Purchased Bike]" caption="Purchased Bike" attribute="1" defaultMemberUniqueName="[Range].[Purchased Bike].[All]" allUniqueName="[Range].[Purchased Bike].[All]" dimensionUniqueName="[Range]" displayFolder="" count="0" memberValueDatatype="130" unbalanced="0"/>
    <cacheHierarchy uniqueName="[Table2].[ID]" caption="ID" attribute="1" defaultMemberUniqueName="[Table2].[ID].[All]" allUniqueName="[Table2].[ID].[All]" dimensionUniqueName="[Table2]" displayFolder="" count="0" memberValueDatatype="20" unbalanced="0"/>
    <cacheHierarchy uniqueName="[Table2].[Marital Status]" caption="Marital Status" attribute="1" defaultMemberUniqueName="[Table2].[Marital Status].[All]" allUniqueName="[Table2].[Marital Status].[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Income]" caption="Income" attribute="1" defaultMemberUniqueName="[Table2].[Income].[All]" allUniqueName="[Table2].[Income].[All]" dimensionUniqueName="[Table2]" displayFolder="" count="0" memberValueDatatype="20" unbalanced="0"/>
    <cacheHierarchy uniqueName="[Table2].[Children]" caption="Children" attribute="1" defaultMemberUniqueName="[Table2].[Children].[All]" allUniqueName="[Table2].[Children].[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130" unbalanced="0"/>
    <cacheHierarchy uniqueName="[Table2].[Occupation]" caption="Occupation" attribute="1" defaultMemberUniqueName="[Table2].[Occupation].[All]" allUniqueName="[Table2].[Occupation].[All]" dimensionUniqueName="[Table2]" displayFolder="" count="0" memberValueDatatype="130" unbalanced="0"/>
    <cacheHierarchy uniqueName="[Table2].[Home Owner]" caption="Home Owner" attribute="1" defaultMemberUniqueName="[Table2].[Home Owner].[All]" allUniqueName="[Table2].[Home Owner].[All]" dimensionUniqueName="[Table2]" displayFolder="" count="0" memberValueDatatype="130" unbalanced="0"/>
    <cacheHierarchy uniqueName="[Table2].[Cars]" caption="Cars" attribute="1" defaultMemberUniqueName="[Table2].[Cars].[All]" allUniqueName="[Table2].[Cars].[All]" dimensionUniqueName="[Table2]" displayFolder="" count="0" memberValueDatatype="20" unbalanced="0"/>
    <cacheHierarchy uniqueName="[Table2].[Commute Distance]" caption="Commute Distance" attribute="1" defaultMemberUniqueName="[Table2].[Commute Distance].[All]" allUniqueName="[Table2].[Commute Distance].[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Purchased Bike]" caption="Purchased Bike" attribute="1" defaultMemberUniqueName="[Table2].[Purchased Bike].[All]" allUniqueName="[Table2].[Purchased Bike].[All]" dimensionUniqueName="[Table2]" displayFolder="" count="2" memberValueDatatype="130" unbalanced="0">
      <fieldsUsage count="2">
        <fieldUsage x="-1"/>
        <fieldUsage x="1"/>
      </fieldsUsage>
    </cacheHierarchy>
    <cacheHierarchy uniqueName="[Measures].[__XL_Count Table2]" caption="__XL_Count Table2" measure="1" displayFolder="" measureGroup="Table2"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Table2" count="0" hidden="1">
      <extLst>
        <ext xmlns:x15="http://schemas.microsoft.com/office/spreadsheetml/2010/11/main" uri="{B97F6D7D-B522-45F9-BDA1-12C45D357490}">
          <x15:cacheHierarchy aggregatedColumn="13"/>
        </ext>
      </extLst>
    </cacheHierarchy>
    <cacheHierarchy uniqueName="[Measures].[Count of ID]" caption="Count of ID" measure="1" displayFolder="" measureGroup="Table2" count="0" hidden="1">
      <extLst>
        <ext xmlns:x15="http://schemas.microsoft.com/office/spreadsheetml/2010/11/main" uri="{B97F6D7D-B522-45F9-BDA1-12C45D357490}">
          <x15:cacheHierarchy aggregatedColumn="13"/>
        </ext>
      </extLst>
    </cacheHierarchy>
    <cacheHierarchy uniqueName="[Measures].[Sum of Income]" caption="Sum of Income" measure="1" displayFolder="" measureGroup="Table2" count="0" hidden="1">
      <extLst>
        <ext xmlns:x15="http://schemas.microsoft.com/office/spreadsheetml/2010/11/main" uri="{B97F6D7D-B522-45F9-BDA1-12C45D357490}">
          <x15:cacheHierarchy aggregatedColumn="16"/>
        </ext>
      </extLst>
    </cacheHierarchy>
    <cacheHierarchy uniqueName="[Measures].[Average of Income]" caption="Average of Income" measure="1" displayFolder="" measureGroup="Table2"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able2" count="0" hidden="1">
      <extLst>
        <ext xmlns:x15="http://schemas.microsoft.com/office/spreadsheetml/2010/11/main" uri="{B97F6D7D-B522-45F9-BDA1-12C45D357490}">
          <x15:cacheHierarchy aggregatedColumn="24"/>
        </ext>
      </extLst>
    </cacheHierarchy>
    <cacheHierarchy uniqueName="[Measures].[Count of Purchased Bike]" caption="Count of Purchased Bike" measure="1" displayFolder="" measureGroup="Table2" count="0" hidden="1">
      <extLst>
        <ext xmlns:x15="http://schemas.microsoft.com/office/spreadsheetml/2010/11/main" uri="{B97F6D7D-B522-45F9-BDA1-12C45D357490}">
          <x15:cacheHierarchy aggregatedColumn="25"/>
        </ext>
      </extLst>
    </cacheHierarchy>
    <cacheHierarchy uniqueName="[Measures].[Count of Occupation]" caption="Count of Occupation" measure="1" displayFolder="" measureGroup="Range" count="0" hidden="1">
      <extLst>
        <ext xmlns:x15="http://schemas.microsoft.com/office/spreadsheetml/2010/11/main" uri="{B97F6D7D-B522-45F9-BDA1-12C45D357490}">
          <x15:cacheHierarchy aggregatedColumn="6"/>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10"/>
        </ext>
      </extLst>
    </cacheHierarchy>
    <cacheHierarchy uniqueName="[Measures].[Min of Region]" caption="Min of Region" measure="1" displayFolder="" measureGroup="Range" count="0" hidden="1">
      <extLst>
        <ext xmlns:x15="http://schemas.microsoft.com/office/spreadsheetml/2010/11/main" uri="{B97F6D7D-B522-45F9-BDA1-12C45D357490}">
          <x15:cacheHierarchy aggregatedColumn="10"/>
        </ext>
      </extLst>
    </cacheHierarchy>
    <cacheHierarchy uniqueName="[Measures].[Count of Purchased Bike 2]" caption="Count of Purchased Bike 2" measure="1" displayFolder="" measureGroup="Range" count="0" hidden="1">
      <extLst>
        <ext xmlns:x15="http://schemas.microsoft.com/office/spreadsheetml/2010/11/main" uri="{B97F6D7D-B522-45F9-BDA1-12C45D357490}">
          <x15:cacheHierarchy aggregatedColumn="12"/>
        </ext>
      </extLst>
    </cacheHierarchy>
    <cacheHierarchy uniqueName="[Measures].[Sum of Income 2]" caption="Sum of Income 2" measure="1" displayFolder="" measureGroup="Range"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4.952201273147" backgroundQuery="1" createdVersion="7" refreshedVersion="7" minRefreshableVersion="3" recordCount="0" supportSubquery="1" supportAdvancedDrill="1" xr:uid="{CCE37186-A623-4740-965E-08E967EF0840}">
  <cacheSource type="external" connectionId="2"/>
  <cacheFields count="1">
    <cacheField name="[Measures].[Count of ID]" caption="Count of ID" numFmtId="0" hierarchy="30" level="32767"/>
  </cacheFields>
  <cacheHierarchies count="41">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Purchased Bike]" caption="Purchased Bike" attribute="1" defaultMemberUniqueName="[Range].[Purchased Bike].[All]" allUniqueName="[Range].[Purchased Bike].[All]" dimensionUniqueName="[Range]" displayFolder="" count="0" memberValueDatatype="130" unbalanced="0"/>
    <cacheHierarchy uniqueName="[Table2].[ID]" caption="ID" attribute="1" defaultMemberUniqueName="[Table2].[ID].[All]" allUniqueName="[Table2].[ID].[All]" dimensionUniqueName="[Table2]" displayFolder="" count="0" memberValueDatatype="20" unbalanced="0"/>
    <cacheHierarchy uniqueName="[Table2].[Marital Status]" caption="Marital Status" attribute="1" defaultMemberUniqueName="[Table2].[Marital Status].[All]" allUniqueName="[Table2].[Marital Status].[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Income]" caption="Income" attribute="1" defaultMemberUniqueName="[Table2].[Income].[All]" allUniqueName="[Table2].[Income].[All]" dimensionUniqueName="[Table2]" displayFolder="" count="0" memberValueDatatype="20" unbalanced="0"/>
    <cacheHierarchy uniqueName="[Table2].[Children]" caption="Children" attribute="1" defaultMemberUniqueName="[Table2].[Children].[All]" allUniqueName="[Table2].[Children].[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130" unbalanced="0"/>
    <cacheHierarchy uniqueName="[Table2].[Occupation]" caption="Occupation" attribute="1" defaultMemberUniqueName="[Table2].[Occupation].[All]" allUniqueName="[Table2].[Occupation].[All]" dimensionUniqueName="[Table2]" displayFolder="" count="0" memberValueDatatype="130" unbalanced="0"/>
    <cacheHierarchy uniqueName="[Table2].[Home Owner]" caption="Home Owner" attribute="1" defaultMemberUniqueName="[Table2].[Home Owner].[All]" allUniqueName="[Table2].[Home Owner].[All]" dimensionUniqueName="[Table2]" displayFolder="" count="0" memberValueDatatype="130" unbalanced="0"/>
    <cacheHierarchy uniqueName="[Table2].[Cars]" caption="Cars" attribute="1" defaultMemberUniqueName="[Table2].[Cars].[All]" allUniqueName="[Table2].[Cars].[All]" dimensionUniqueName="[Table2]" displayFolder="" count="0" memberValueDatatype="20" unbalanced="0"/>
    <cacheHierarchy uniqueName="[Table2].[Commute Distance]" caption="Commute Distance" attribute="1" defaultMemberUniqueName="[Table2].[Commute Distance].[All]" allUniqueName="[Table2].[Commute Distance].[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Purchased Bike]" caption="Purchased Bike" attribute="1" defaultMemberUniqueName="[Table2].[Purchased Bike].[All]" allUniqueName="[Table2].[Purchased Bike].[All]" dimensionUniqueName="[Table2]" displayFolder="" count="0" memberValueDatatype="130" unbalanced="0"/>
    <cacheHierarchy uniqueName="[Measures].[__XL_Count Table2]" caption="__XL_Count Table2" measure="1" displayFolder="" measureGroup="Table2"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Table2" count="0" hidden="1">
      <extLst>
        <ext xmlns:x15="http://schemas.microsoft.com/office/spreadsheetml/2010/11/main" uri="{B97F6D7D-B522-45F9-BDA1-12C45D357490}">
          <x15:cacheHierarchy aggregatedColumn="13"/>
        </ext>
      </extLst>
    </cacheHierarchy>
    <cacheHierarchy uniqueName="[Measures].[Count of ID]" caption="Count of ID" measure="1" displayFolder="" measureGroup="Table2"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Income]" caption="Sum of Income" measure="1" displayFolder="" measureGroup="Table2" count="0" hidden="1">
      <extLst>
        <ext xmlns:x15="http://schemas.microsoft.com/office/spreadsheetml/2010/11/main" uri="{B97F6D7D-B522-45F9-BDA1-12C45D357490}">
          <x15:cacheHierarchy aggregatedColumn="16"/>
        </ext>
      </extLst>
    </cacheHierarchy>
    <cacheHierarchy uniqueName="[Measures].[Average of Income]" caption="Average of Income" measure="1" displayFolder="" measureGroup="Table2" count="0" hidden="1">
      <extLst>
        <ext xmlns:x15="http://schemas.microsoft.com/office/spreadsheetml/2010/11/main" uri="{B97F6D7D-B522-45F9-BDA1-12C45D357490}">
          <x15:cacheHierarchy aggregatedColumn="16"/>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able2" count="0" hidden="1">
      <extLst>
        <ext xmlns:x15="http://schemas.microsoft.com/office/spreadsheetml/2010/11/main" uri="{B97F6D7D-B522-45F9-BDA1-12C45D357490}">
          <x15:cacheHierarchy aggregatedColumn="24"/>
        </ext>
      </extLst>
    </cacheHierarchy>
    <cacheHierarchy uniqueName="[Measures].[Count of Purchased Bike]" caption="Count of Purchased Bike" measure="1" displayFolder="" measureGroup="Table2" count="0" hidden="1">
      <extLst>
        <ext xmlns:x15="http://schemas.microsoft.com/office/spreadsheetml/2010/11/main" uri="{B97F6D7D-B522-45F9-BDA1-12C45D357490}">
          <x15:cacheHierarchy aggregatedColumn="25"/>
        </ext>
      </extLst>
    </cacheHierarchy>
    <cacheHierarchy uniqueName="[Measures].[Count of Occupation]" caption="Count of Occupation" measure="1" displayFolder="" measureGroup="Range" count="0" hidden="1">
      <extLst>
        <ext xmlns:x15="http://schemas.microsoft.com/office/spreadsheetml/2010/11/main" uri="{B97F6D7D-B522-45F9-BDA1-12C45D357490}">
          <x15:cacheHierarchy aggregatedColumn="6"/>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10"/>
        </ext>
      </extLst>
    </cacheHierarchy>
    <cacheHierarchy uniqueName="[Measures].[Min of Region]" caption="Min of Region" measure="1" displayFolder="" measureGroup="Range" count="0" hidden="1">
      <extLst>
        <ext xmlns:x15="http://schemas.microsoft.com/office/spreadsheetml/2010/11/main" uri="{B97F6D7D-B522-45F9-BDA1-12C45D357490}">
          <x15:cacheHierarchy aggregatedColumn="10"/>
        </ext>
      </extLst>
    </cacheHierarchy>
    <cacheHierarchy uniqueName="[Measures].[Count of Purchased Bike 2]" caption="Count of Purchased Bike 2" measure="1" displayFolder="" measureGroup="Range" count="0" hidden="1">
      <extLst>
        <ext xmlns:x15="http://schemas.microsoft.com/office/spreadsheetml/2010/11/main" uri="{B97F6D7D-B522-45F9-BDA1-12C45D357490}">
          <x15:cacheHierarchy aggregatedColumn="12"/>
        </ext>
      </extLst>
    </cacheHierarchy>
    <cacheHierarchy uniqueName="[Measures].[Sum of Income 2]" caption="Sum of Income 2" measure="1" displayFolder="" measureGroup="Range"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5.031518402779" backgroundQuery="1" createdVersion="7" refreshedVersion="7" minRefreshableVersion="3" recordCount="0" supportSubquery="1" supportAdvancedDrill="1" xr:uid="{01EBC127-A85C-49ED-AD15-D2FFED5F9C95}">
  <cacheSource type="external" connectionId="2"/>
  <cacheFields count="2">
    <cacheField name="[Range].[Education].[Education]" caption="Education" numFmtId="0" hierarchy="5" level="1">
      <sharedItems count="5">
        <s v="Bachelors"/>
        <s v="Graduate Degree"/>
        <s v="High School"/>
        <s v="Partial College"/>
        <s v="Partial High School"/>
      </sharedItems>
      <extLst>
        <ext xmlns:x15="http://schemas.microsoft.com/office/spreadsheetml/2010/11/main" uri="{4F2E5C28-24EA-4eb8-9CBF-B6C8F9C3D259}">
          <x15:cachedUniqueNames>
            <x15:cachedUniqueName index="0" name="[Range].[Education].&amp;[Bachelors]"/>
            <x15:cachedUniqueName index="1" name="[Range].[Education].&amp;[Graduate Degree]"/>
            <x15:cachedUniqueName index="2" name="[Range].[Education].&amp;[High School]"/>
            <x15:cachedUniqueName index="3" name="[Range].[Education].&amp;[Partial College]"/>
            <x15:cachedUniqueName index="4" name="[Range].[Education].&amp;[Partial High School]"/>
          </x15:cachedUniqueNames>
        </ext>
      </extLst>
    </cacheField>
    <cacheField name="[Measures].[Count of Purchased Bike 2]" caption="Count of Purchased Bike 2" numFmtId="0" hierarchy="39" level="32767"/>
  </cacheFields>
  <cacheHierarchies count="41">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fieldsUsage count="2">
        <fieldUsage x="-1"/>
        <fieldUsage x="0"/>
      </fieldsUsage>
    </cacheHierarchy>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Purchased Bike]" caption="Purchased Bike" attribute="1" defaultMemberUniqueName="[Range].[Purchased Bike].[All]" allUniqueName="[Range].[Purchased Bike].[All]" dimensionUniqueName="[Range]" displayFolder="" count="0" memberValueDatatype="130" unbalanced="0"/>
    <cacheHierarchy uniqueName="[Table2].[ID]" caption="ID" attribute="1" defaultMemberUniqueName="[Table2].[ID].[All]" allUniqueName="[Table2].[ID].[All]" dimensionUniqueName="[Table2]" displayFolder="" count="0" memberValueDatatype="20" unbalanced="0"/>
    <cacheHierarchy uniqueName="[Table2].[Marital Status]" caption="Marital Status" attribute="1" defaultMemberUniqueName="[Table2].[Marital Status].[All]" allUniqueName="[Table2].[Marital Status].[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Income]" caption="Income" attribute="1" defaultMemberUniqueName="[Table2].[Income].[All]" allUniqueName="[Table2].[Income].[All]" dimensionUniqueName="[Table2]" displayFolder="" count="0" memberValueDatatype="20" unbalanced="0"/>
    <cacheHierarchy uniqueName="[Table2].[Children]" caption="Children" attribute="1" defaultMemberUniqueName="[Table2].[Children].[All]" allUniqueName="[Table2].[Children].[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130" unbalanced="0"/>
    <cacheHierarchy uniqueName="[Table2].[Occupation]" caption="Occupation" attribute="1" defaultMemberUniqueName="[Table2].[Occupation].[All]" allUniqueName="[Table2].[Occupation].[All]" dimensionUniqueName="[Table2]" displayFolder="" count="0" memberValueDatatype="130" unbalanced="0"/>
    <cacheHierarchy uniqueName="[Table2].[Home Owner]" caption="Home Owner" attribute="1" defaultMemberUniqueName="[Table2].[Home Owner].[All]" allUniqueName="[Table2].[Home Owner].[All]" dimensionUniqueName="[Table2]" displayFolder="" count="0" memberValueDatatype="130" unbalanced="0"/>
    <cacheHierarchy uniqueName="[Table2].[Cars]" caption="Cars" attribute="1" defaultMemberUniqueName="[Table2].[Cars].[All]" allUniqueName="[Table2].[Cars].[All]" dimensionUniqueName="[Table2]" displayFolder="" count="0" memberValueDatatype="20" unbalanced="0"/>
    <cacheHierarchy uniqueName="[Table2].[Commute Distance]" caption="Commute Distance" attribute="1" defaultMemberUniqueName="[Table2].[Commute Distance].[All]" allUniqueName="[Table2].[Commute Distance].[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Purchased Bike]" caption="Purchased Bike" attribute="1" defaultMemberUniqueName="[Table2].[Purchased Bike].[All]" allUniqueName="[Table2].[Purchased Bike].[All]" dimensionUniqueName="[Table2]" displayFolder="" count="0" memberValueDatatype="130" unbalanced="0"/>
    <cacheHierarchy uniqueName="[Measures].[__XL_Count Table2]" caption="__XL_Count Table2" measure="1" displayFolder="" measureGroup="Table2"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Table2" count="0" hidden="1">
      <extLst>
        <ext xmlns:x15="http://schemas.microsoft.com/office/spreadsheetml/2010/11/main" uri="{B97F6D7D-B522-45F9-BDA1-12C45D357490}">
          <x15:cacheHierarchy aggregatedColumn="13"/>
        </ext>
      </extLst>
    </cacheHierarchy>
    <cacheHierarchy uniqueName="[Measures].[Count of ID]" caption="Count of ID" measure="1" displayFolder="" measureGroup="Table2" count="0" hidden="1">
      <extLst>
        <ext xmlns:x15="http://schemas.microsoft.com/office/spreadsheetml/2010/11/main" uri="{B97F6D7D-B522-45F9-BDA1-12C45D357490}">
          <x15:cacheHierarchy aggregatedColumn="13"/>
        </ext>
      </extLst>
    </cacheHierarchy>
    <cacheHierarchy uniqueName="[Measures].[Sum of Income]" caption="Sum of Income" measure="1" displayFolder="" measureGroup="Table2" count="0" hidden="1">
      <extLst>
        <ext xmlns:x15="http://schemas.microsoft.com/office/spreadsheetml/2010/11/main" uri="{B97F6D7D-B522-45F9-BDA1-12C45D357490}">
          <x15:cacheHierarchy aggregatedColumn="16"/>
        </ext>
      </extLst>
    </cacheHierarchy>
    <cacheHierarchy uniqueName="[Measures].[Average of Income]" caption="Average of Income" measure="1" displayFolder="" measureGroup="Table2" count="0" hidden="1">
      <extLst>
        <ext xmlns:x15="http://schemas.microsoft.com/office/spreadsheetml/2010/11/main" uri="{B97F6D7D-B522-45F9-BDA1-12C45D357490}">
          <x15:cacheHierarchy aggregatedColumn="16"/>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able2" count="0" hidden="1">
      <extLst>
        <ext xmlns:x15="http://schemas.microsoft.com/office/spreadsheetml/2010/11/main" uri="{B97F6D7D-B522-45F9-BDA1-12C45D357490}">
          <x15:cacheHierarchy aggregatedColumn="24"/>
        </ext>
      </extLst>
    </cacheHierarchy>
    <cacheHierarchy uniqueName="[Measures].[Count of Purchased Bike]" caption="Count of Purchased Bike" measure="1" displayFolder="" measureGroup="Table2" count="0" hidden="1">
      <extLst>
        <ext xmlns:x15="http://schemas.microsoft.com/office/spreadsheetml/2010/11/main" uri="{B97F6D7D-B522-45F9-BDA1-12C45D357490}">
          <x15:cacheHierarchy aggregatedColumn="25"/>
        </ext>
      </extLst>
    </cacheHierarchy>
    <cacheHierarchy uniqueName="[Measures].[Count of Occupation]" caption="Count of Occupation" measure="1" displayFolder="" measureGroup="Range" count="0" hidden="1">
      <extLst>
        <ext xmlns:x15="http://schemas.microsoft.com/office/spreadsheetml/2010/11/main" uri="{B97F6D7D-B522-45F9-BDA1-12C45D357490}">
          <x15:cacheHierarchy aggregatedColumn="6"/>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10"/>
        </ext>
      </extLst>
    </cacheHierarchy>
    <cacheHierarchy uniqueName="[Measures].[Min of Region]" caption="Min of Region" measure="1" displayFolder="" measureGroup="Range" count="0" hidden="1">
      <extLst>
        <ext xmlns:x15="http://schemas.microsoft.com/office/spreadsheetml/2010/11/main" uri="{B97F6D7D-B522-45F9-BDA1-12C45D357490}">
          <x15:cacheHierarchy aggregatedColumn="10"/>
        </ext>
      </extLst>
    </cacheHierarchy>
    <cacheHierarchy uniqueName="[Measures].[Count of Purchased Bike 2]" caption="Count of Purchased Bike 2" measure="1" displayFolder="" measureGroup="Rang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Income 2]" caption="Sum of Income 2" measure="1" displayFolder="" measureGroup="Range"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5.031518402779" backgroundQuery="1" createdVersion="7" refreshedVersion="7" minRefreshableVersion="3" recordCount="0" supportSubquery="1" supportAdvancedDrill="1" xr:uid="{9A315598-BAF6-484A-A19F-1B3210DE8EEF}">
  <cacheSource type="external" connectionId="2"/>
  <cacheFields count="2">
    <cacheField name="[Range].[Education].[Education]" caption="Education" numFmtId="0" hierarchy="5" level="1">
      <sharedItems count="5">
        <s v="Bachelors"/>
        <s v="Graduate Degree"/>
        <s v="High School"/>
        <s v="Partial College"/>
        <s v="Partial High School"/>
      </sharedItems>
      <extLst>
        <ext xmlns:x15="http://schemas.microsoft.com/office/spreadsheetml/2010/11/main" uri="{4F2E5C28-24EA-4eb8-9CBF-B6C8F9C3D259}">
          <x15:cachedUniqueNames>
            <x15:cachedUniqueName index="0" name="[Range].[Education].&amp;[Bachelors]"/>
            <x15:cachedUniqueName index="1" name="[Range].[Education].&amp;[Graduate Degree]"/>
            <x15:cachedUniqueName index="2" name="[Range].[Education].&amp;[High School]"/>
            <x15:cachedUniqueName index="3" name="[Range].[Education].&amp;[Partial College]"/>
            <x15:cachedUniqueName index="4" name="[Range].[Education].&amp;[Partial High School]"/>
          </x15:cachedUniqueNames>
        </ext>
      </extLst>
    </cacheField>
    <cacheField name="[Measures].[Count of Purchased Bike 2]" caption="Count of Purchased Bike 2" numFmtId="0" hierarchy="39" level="32767"/>
  </cacheFields>
  <cacheHierarchies count="41">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fieldsUsage count="2">
        <fieldUsage x="-1"/>
        <fieldUsage x="0"/>
      </fieldsUsage>
    </cacheHierarchy>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Purchased Bike]" caption="Purchased Bike" attribute="1" defaultMemberUniqueName="[Range].[Purchased Bike].[All]" allUniqueName="[Range].[Purchased Bike].[All]" dimensionUniqueName="[Range]" displayFolder="" count="0" memberValueDatatype="130" unbalanced="0"/>
    <cacheHierarchy uniqueName="[Table2].[ID]" caption="ID" attribute="1" defaultMemberUniqueName="[Table2].[ID].[All]" allUniqueName="[Table2].[ID].[All]" dimensionUniqueName="[Table2]" displayFolder="" count="0" memberValueDatatype="20" unbalanced="0"/>
    <cacheHierarchy uniqueName="[Table2].[Marital Status]" caption="Marital Status" attribute="1" defaultMemberUniqueName="[Table2].[Marital Status].[All]" allUniqueName="[Table2].[Marital Status].[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Income]" caption="Income" attribute="1" defaultMemberUniqueName="[Table2].[Income].[All]" allUniqueName="[Table2].[Income].[All]" dimensionUniqueName="[Table2]" displayFolder="" count="0" memberValueDatatype="20" unbalanced="0"/>
    <cacheHierarchy uniqueName="[Table2].[Children]" caption="Children" attribute="1" defaultMemberUniqueName="[Table2].[Children].[All]" allUniqueName="[Table2].[Children].[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130" unbalanced="0"/>
    <cacheHierarchy uniqueName="[Table2].[Occupation]" caption="Occupation" attribute="1" defaultMemberUniqueName="[Table2].[Occupation].[All]" allUniqueName="[Table2].[Occupation].[All]" dimensionUniqueName="[Table2]" displayFolder="" count="0" memberValueDatatype="130" unbalanced="0"/>
    <cacheHierarchy uniqueName="[Table2].[Home Owner]" caption="Home Owner" attribute="1" defaultMemberUniqueName="[Table2].[Home Owner].[All]" allUniqueName="[Table2].[Home Owner].[All]" dimensionUniqueName="[Table2]" displayFolder="" count="0" memberValueDatatype="130" unbalanced="0"/>
    <cacheHierarchy uniqueName="[Table2].[Cars]" caption="Cars" attribute="1" defaultMemberUniqueName="[Table2].[Cars].[All]" allUniqueName="[Table2].[Cars].[All]" dimensionUniqueName="[Table2]" displayFolder="" count="0" memberValueDatatype="20" unbalanced="0"/>
    <cacheHierarchy uniqueName="[Table2].[Commute Distance]" caption="Commute Distance" attribute="1" defaultMemberUniqueName="[Table2].[Commute Distance].[All]" allUniqueName="[Table2].[Commute Distance].[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Purchased Bike]" caption="Purchased Bike" attribute="1" defaultMemberUniqueName="[Table2].[Purchased Bike].[All]" allUniqueName="[Table2].[Purchased Bike].[All]" dimensionUniqueName="[Table2]" displayFolder="" count="0" memberValueDatatype="130" unbalanced="0"/>
    <cacheHierarchy uniqueName="[Measures].[__XL_Count Table2]" caption="__XL_Count Table2" measure="1" displayFolder="" measureGroup="Table2"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Table2" count="0" hidden="1">
      <extLst>
        <ext xmlns:x15="http://schemas.microsoft.com/office/spreadsheetml/2010/11/main" uri="{B97F6D7D-B522-45F9-BDA1-12C45D357490}">
          <x15:cacheHierarchy aggregatedColumn="13"/>
        </ext>
      </extLst>
    </cacheHierarchy>
    <cacheHierarchy uniqueName="[Measures].[Count of ID]" caption="Count of ID" measure="1" displayFolder="" measureGroup="Table2" count="0" hidden="1">
      <extLst>
        <ext xmlns:x15="http://schemas.microsoft.com/office/spreadsheetml/2010/11/main" uri="{B97F6D7D-B522-45F9-BDA1-12C45D357490}">
          <x15:cacheHierarchy aggregatedColumn="13"/>
        </ext>
      </extLst>
    </cacheHierarchy>
    <cacheHierarchy uniqueName="[Measures].[Sum of Income]" caption="Sum of Income" measure="1" displayFolder="" measureGroup="Table2" count="0" hidden="1">
      <extLst>
        <ext xmlns:x15="http://schemas.microsoft.com/office/spreadsheetml/2010/11/main" uri="{B97F6D7D-B522-45F9-BDA1-12C45D357490}">
          <x15:cacheHierarchy aggregatedColumn="16"/>
        </ext>
      </extLst>
    </cacheHierarchy>
    <cacheHierarchy uniqueName="[Measures].[Average of Income]" caption="Average of Income" measure="1" displayFolder="" measureGroup="Table2" count="0" hidden="1">
      <extLst>
        <ext xmlns:x15="http://schemas.microsoft.com/office/spreadsheetml/2010/11/main" uri="{B97F6D7D-B522-45F9-BDA1-12C45D357490}">
          <x15:cacheHierarchy aggregatedColumn="16"/>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able2" count="0" hidden="1">
      <extLst>
        <ext xmlns:x15="http://schemas.microsoft.com/office/spreadsheetml/2010/11/main" uri="{B97F6D7D-B522-45F9-BDA1-12C45D357490}">
          <x15:cacheHierarchy aggregatedColumn="24"/>
        </ext>
      </extLst>
    </cacheHierarchy>
    <cacheHierarchy uniqueName="[Measures].[Count of Purchased Bike]" caption="Count of Purchased Bike" measure="1" displayFolder="" measureGroup="Table2" count="0" hidden="1">
      <extLst>
        <ext xmlns:x15="http://schemas.microsoft.com/office/spreadsheetml/2010/11/main" uri="{B97F6D7D-B522-45F9-BDA1-12C45D357490}">
          <x15:cacheHierarchy aggregatedColumn="25"/>
        </ext>
      </extLst>
    </cacheHierarchy>
    <cacheHierarchy uniqueName="[Measures].[Count of Occupation]" caption="Count of Occupation" measure="1" displayFolder="" measureGroup="Range" count="0" hidden="1">
      <extLst>
        <ext xmlns:x15="http://schemas.microsoft.com/office/spreadsheetml/2010/11/main" uri="{B97F6D7D-B522-45F9-BDA1-12C45D357490}">
          <x15:cacheHierarchy aggregatedColumn="6"/>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10"/>
        </ext>
      </extLst>
    </cacheHierarchy>
    <cacheHierarchy uniqueName="[Measures].[Min of Region]" caption="Min of Region" measure="1" displayFolder="" measureGroup="Range" count="0" hidden="1">
      <extLst>
        <ext xmlns:x15="http://schemas.microsoft.com/office/spreadsheetml/2010/11/main" uri="{B97F6D7D-B522-45F9-BDA1-12C45D357490}">
          <x15:cacheHierarchy aggregatedColumn="10"/>
        </ext>
      </extLst>
    </cacheHierarchy>
    <cacheHierarchy uniqueName="[Measures].[Count of Purchased Bike 2]" caption="Count of Purchased Bike 2" measure="1" displayFolder="" measureGroup="Rang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Income 2]" caption="Sum of Income 2" measure="1" displayFolder="" measureGroup="Range"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5.785659606481" backgroundQuery="1" createdVersion="7" refreshedVersion="7" minRefreshableVersion="3" recordCount="0" supportSubquery="1" supportAdvancedDrill="1" xr:uid="{8F6366E4-E3DC-444C-9C15-2A68DADA4237}">
  <cacheSource type="external" connectionId="2"/>
  <cacheFields count="2">
    <cacheField name="[Measures].[Count of Purchased Bike 2]" caption="Count of Purchased Bike 2" numFmtId="0" hierarchy="39" level="32767"/>
    <cacheField name="[Range].[Region].[Region]" caption="Region" numFmtId="0" hierarchy="10" level="1">
      <sharedItems count="3">
        <s v="Europe"/>
        <s v="North America"/>
        <s v="Pacific"/>
      </sharedItems>
      <extLst>
        <ext xmlns:x15="http://schemas.microsoft.com/office/spreadsheetml/2010/11/main" uri="{4F2E5C28-24EA-4eb8-9CBF-B6C8F9C3D259}">
          <x15:cachedUniqueNames>
            <x15:cachedUniqueName index="0" name="[Range].[Region].&amp;[Europe]"/>
            <x15:cachedUniqueName index="1" name="[Range].[Region].&amp;[North America]"/>
            <x15:cachedUniqueName index="2" name="[Range].[Region].&amp;[Pacific]"/>
          </x15:cachedUniqueNames>
        </ext>
      </extLst>
    </cacheField>
  </cacheFields>
  <cacheHierarchies count="41">
    <cacheHierarchy uniqueName="[Range].[ID]" caption="ID" attribute="1" defaultMemberUniqueName="[Range].[ID].[All]" allUniqueName="[Range].[ID].[All]" dimensionUniqueName="[Range]" displayFolder="" count="2" memberValueDatatype="20" unbalanced="0"/>
    <cacheHierarchy uniqueName="[Range].[Marital Status]" caption="Marital Status" attribute="1" defaultMemberUniqueName="[Range].[Marital Status].[All]" allUniqueName="[Range].[Marital Status].[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Income]" caption="Income" attribute="1" defaultMemberUniqueName="[Range].[Income].[All]" allUniqueName="[Range].[Income].[All]" dimensionUniqueName="[Range]" displayFolder="" count="2" memberValueDatatype="20" unbalanced="0"/>
    <cacheHierarchy uniqueName="[Range].[Children]" caption="Children" attribute="1" defaultMemberUniqueName="[Range].[Children].[All]" allUniqueName="[Range].[Children].[All]" dimensionUniqueName="[Range]" displayFolder="" count="2" memberValueDatatype="20" unbalanced="0"/>
    <cacheHierarchy uniqueName="[Range].[Education]" caption="Education" attribute="1" defaultMemberUniqueName="[Range].[Education].[All]" allUniqueName="[Range].[Education].[All]" dimensionUniqueName="[Range]" displayFolder="" count="2" memberValueDatatype="130" unbalanced="0"/>
    <cacheHierarchy uniqueName="[Range].[Occupation]" caption="Occupation" attribute="1" defaultMemberUniqueName="[Range].[Occupation].[All]" allUniqueName="[Range].[Occupation].[All]" dimensionUniqueName="[Range]" displayFolder="" count="2" memberValueDatatype="130" unbalanced="0"/>
    <cacheHierarchy uniqueName="[Range].[Home Owner]" caption="Home Owner" attribute="1" defaultMemberUniqueName="[Range].[Home Owner].[All]" allUniqueName="[Range].[Home Owner].[All]" dimensionUniqueName="[Range]" displayFolder="" count="2" memberValueDatatype="130" unbalanced="0"/>
    <cacheHierarchy uniqueName="[Range].[Cars]" caption="Cars" attribute="1" defaultMemberUniqueName="[Range].[Cars].[All]" allUniqueName="[Range].[Cars].[All]" dimensionUniqueName="[Range]" displayFolder="" count="2" memberValueDatatype="20" unbalanced="0"/>
    <cacheHierarchy uniqueName="[Range].[Commute Distance]" caption="Commute Distance" attribute="1" defaultMemberUniqueName="[Range].[Commute Distance].[All]" allUniqueName="[Range].[Commute Distanc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Age]" caption="Age" attribute="1" defaultMemberUniqueName="[Range].[Age].[All]" allUniqueName="[Range].[Age].[All]" dimensionUniqueName="[Range]" displayFolder="" count="2" memberValueDatatype="20" unbalanced="0"/>
    <cacheHierarchy uniqueName="[Range].[Purchased Bike]" caption="Purchased Bike" attribute="1" defaultMemberUniqueName="[Range].[Purchased Bike].[All]" allUniqueName="[Range].[Purchased Bike].[All]" dimensionUniqueName="[Range]" displayFolder="" count="2" memberValueDatatype="130" unbalanced="0"/>
    <cacheHierarchy uniqueName="[Table2].[ID]" caption="ID" attribute="1" defaultMemberUniqueName="[Table2].[ID].[All]" allUniqueName="[Table2].[ID].[All]" dimensionUniqueName="[Table2]" displayFolder="" count="2" memberValueDatatype="20" unbalanced="0"/>
    <cacheHierarchy uniqueName="[Table2].[Marital Status]" caption="Marital Status" attribute="1" defaultMemberUniqueName="[Table2].[Marital Status].[All]" allUniqueName="[Table2].[Marital Status].[All]" dimensionUniqueName="[Table2]" displayFolder="" count="2" memberValueDatatype="130" unbalanced="0"/>
    <cacheHierarchy uniqueName="[Table2].[Gender]" caption="Gender" attribute="1" defaultMemberUniqueName="[Table2].[Gender].[All]" allUniqueName="[Table2].[Gender].[All]" dimensionUniqueName="[Table2]" displayFolder="" count="2" memberValueDatatype="130" unbalanced="0"/>
    <cacheHierarchy uniqueName="[Table2].[Income]" caption="Income" attribute="1" defaultMemberUniqueName="[Table2].[Income].[All]" allUniqueName="[Table2].[Income].[All]" dimensionUniqueName="[Table2]" displayFolder="" count="2" memberValueDatatype="20" unbalanced="0"/>
    <cacheHierarchy uniqueName="[Table2].[Children]" caption="Children" attribute="1" defaultMemberUniqueName="[Table2].[Children].[All]" allUniqueName="[Table2].[Children].[All]" dimensionUniqueName="[Table2]" displayFolder="" count="2" memberValueDatatype="20" unbalanced="0"/>
    <cacheHierarchy uniqueName="[Table2].[Education]" caption="Education" attribute="1" defaultMemberUniqueName="[Table2].[Education].[All]" allUniqueName="[Table2].[Education].[All]" dimensionUniqueName="[Table2]" displayFolder="" count="2" memberValueDatatype="130" unbalanced="0"/>
    <cacheHierarchy uniqueName="[Table2].[Occupation]" caption="Occupation" attribute="1" defaultMemberUniqueName="[Table2].[Occupation].[All]" allUniqueName="[Table2].[Occupation].[All]" dimensionUniqueName="[Table2]" displayFolder="" count="2" memberValueDatatype="130" unbalanced="0"/>
    <cacheHierarchy uniqueName="[Table2].[Home Owner]" caption="Home Owner" attribute="1" defaultMemberUniqueName="[Table2].[Home Owner].[All]" allUniqueName="[Table2].[Home Owner].[All]" dimensionUniqueName="[Table2]" displayFolder="" count="2" memberValueDatatype="130" unbalanced="0"/>
    <cacheHierarchy uniqueName="[Table2].[Cars]" caption="Cars" attribute="1" defaultMemberUniqueName="[Table2].[Cars].[All]" allUniqueName="[Table2].[Cars].[All]" dimensionUniqueName="[Table2]" displayFolder="" count="2" memberValueDatatype="20" unbalanced="0"/>
    <cacheHierarchy uniqueName="[Table2].[Commute Distance]" caption="Commute Distance" attribute="1" defaultMemberUniqueName="[Table2].[Commute Distance].[All]" allUniqueName="[Table2].[Commute Distance].[All]" dimensionUniqueName="[Table2]" displayFolder="" count="2" memberValueDatatype="130" unbalanced="0"/>
    <cacheHierarchy uniqueName="[Table2].[Region]" caption="Region" attribute="1" defaultMemberUniqueName="[Table2].[Region].[All]" allUniqueName="[Table2].[Region].[All]" dimensionUniqueName="[Table2]" displayFolder="" count="2" memberValueDatatype="130" unbalanced="0"/>
    <cacheHierarchy uniqueName="[Table2].[Age]" caption="Age" attribute="1" defaultMemberUniqueName="[Table2].[Age].[All]" allUniqueName="[Table2].[Age].[All]" dimensionUniqueName="[Table2]" displayFolder="" count="2" memberValueDatatype="20" unbalanced="0"/>
    <cacheHierarchy uniqueName="[Table2].[Purchased Bike]" caption="Purchased Bike" attribute="1" defaultMemberUniqueName="[Table2].[Purchased Bike].[All]" allUniqueName="[Table2].[Purchased Bike].[All]" dimensionUniqueName="[Table2]" displayFolder="" count="2" memberValueDatatype="130" unbalanced="0"/>
    <cacheHierarchy uniqueName="[Measures].[__XL_Count Table2]" caption="__XL_Count Table2" measure="1" displayFolder="" measureGroup="Table2"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Table2" count="0" hidden="1">
      <extLst>
        <ext xmlns:x15="http://schemas.microsoft.com/office/spreadsheetml/2010/11/main" uri="{B97F6D7D-B522-45F9-BDA1-12C45D357490}">
          <x15:cacheHierarchy aggregatedColumn="13"/>
        </ext>
      </extLst>
    </cacheHierarchy>
    <cacheHierarchy uniqueName="[Measures].[Count of ID]" caption="Count of ID" measure="1" displayFolder="" measureGroup="Table2" count="0" hidden="1">
      <extLst>
        <ext xmlns:x15="http://schemas.microsoft.com/office/spreadsheetml/2010/11/main" uri="{B97F6D7D-B522-45F9-BDA1-12C45D357490}">
          <x15:cacheHierarchy aggregatedColumn="13"/>
        </ext>
      </extLst>
    </cacheHierarchy>
    <cacheHierarchy uniqueName="[Measures].[Sum of Income]" caption="Sum of Income" measure="1" displayFolder="" measureGroup="Table2" count="0" hidden="1">
      <extLst>
        <ext xmlns:x15="http://schemas.microsoft.com/office/spreadsheetml/2010/11/main" uri="{B97F6D7D-B522-45F9-BDA1-12C45D357490}">
          <x15:cacheHierarchy aggregatedColumn="16"/>
        </ext>
      </extLst>
    </cacheHierarchy>
    <cacheHierarchy uniqueName="[Measures].[Average of Income]" caption="Average of Income" measure="1" displayFolder="" measureGroup="Table2" count="0" hidden="1">
      <extLst>
        <ext xmlns:x15="http://schemas.microsoft.com/office/spreadsheetml/2010/11/main" uri="{B97F6D7D-B522-45F9-BDA1-12C45D357490}">
          <x15:cacheHierarchy aggregatedColumn="16"/>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able2" count="0" hidden="1">
      <extLst>
        <ext xmlns:x15="http://schemas.microsoft.com/office/spreadsheetml/2010/11/main" uri="{B97F6D7D-B522-45F9-BDA1-12C45D357490}">
          <x15:cacheHierarchy aggregatedColumn="24"/>
        </ext>
      </extLst>
    </cacheHierarchy>
    <cacheHierarchy uniqueName="[Measures].[Count of Purchased Bike]" caption="Count of Purchased Bike" measure="1" displayFolder="" measureGroup="Table2" count="0" hidden="1">
      <extLst>
        <ext xmlns:x15="http://schemas.microsoft.com/office/spreadsheetml/2010/11/main" uri="{B97F6D7D-B522-45F9-BDA1-12C45D357490}">
          <x15:cacheHierarchy aggregatedColumn="25"/>
        </ext>
      </extLst>
    </cacheHierarchy>
    <cacheHierarchy uniqueName="[Measures].[Count of Occupation]" caption="Count of Occupation" measure="1" displayFolder="" measureGroup="Range" count="0" hidden="1">
      <extLst>
        <ext xmlns:x15="http://schemas.microsoft.com/office/spreadsheetml/2010/11/main" uri="{B97F6D7D-B522-45F9-BDA1-12C45D357490}">
          <x15:cacheHierarchy aggregatedColumn="6"/>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10"/>
        </ext>
      </extLst>
    </cacheHierarchy>
    <cacheHierarchy uniqueName="[Measures].[Min of Region]" caption="Min of Region" measure="1" displayFolder="" measureGroup="Range" count="0" hidden="1">
      <extLst>
        <ext xmlns:x15="http://schemas.microsoft.com/office/spreadsheetml/2010/11/main" uri="{B97F6D7D-B522-45F9-BDA1-12C45D357490}">
          <x15:cacheHierarchy aggregatedColumn="10"/>
        </ext>
      </extLst>
    </cacheHierarchy>
    <cacheHierarchy uniqueName="[Measures].[Count of Purchased Bike 2]" caption="Count of Purchased Bike 2" measure="1" displayFolder="" measureGroup="Rang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Income 2]" caption="Sum of Income 2" measure="1" displayFolder="" measureGroup="Range"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5.785660185182" backgroundQuery="1" createdVersion="7" refreshedVersion="7" minRefreshableVersion="3" recordCount="0" supportSubquery="1" supportAdvancedDrill="1" xr:uid="{E34A0AC1-5600-4A80-9423-703CAFD43310}">
  <cacheSource type="external" connectionId="2"/>
  <cacheFields count="3">
    <cacheField name="[Range].[Income].[Income]" caption="Income" numFmtId="0" hierarchy="3" level="1">
      <sharedItems containsSemiMixedTypes="0" containsString="0" containsNumber="1" containsInteger="1" minValue="10000" maxValue="170000" count="16">
        <n v="10000"/>
        <n v="20000"/>
        <n v="30000"/>
        <n v="40000"/>
        <n v="50000"/>
        <n v="60000"/>
        <n v="70000"/>
        <n v="80000"/>
        <n v="90000"/>
        <n v="100000"/>
        <n v="110000"/>
        <n v="120000"/>
        <n v="130000"/>
        <n v="150000"/>
        <n v="160000"/>
        <n v="170000"/>
      </sharedItems>
      <extLst>
        <ext xmlns:x15="http://schemas.microsoft.com/office/spreadsheetml/2010/11/main" uri="{4F2E5C28-24EA-4eb8-9CBF-B6C8F9C3D259}">
          <x15:cachedUniqueNames>
            <x15:cachedUniqueName index="0" name="[Range].[Income].&amp;[10000]"/>
            <x15:cachedUniqueName index="1" name="[Range].[Income].&amp;[20000]"/>
            <x15:cachedUniqueName index="2" name="[Range].[Income].&amp;[30000]"/>
            <x15:cachedUniqueName index="3" name="[Range].[Income].&amp;[40000]"/>
            <x15:cachedUniqueName index="4" name="[Range].[Income].&amp;[50000]"/>
            <x15:cachedUniqueName index="5" name="[Range].[Income].&amp;[60000]"/>
            <x15:cachedUniqueName index="6" name="[Range].[Income].&amp;[70000]"/>
            <x15:cachedUniqueName index="7" name="[Range].[Income].&amp;[80000]"/>
            <x15:cachedUniqueName index="8" name="[Range].[Income].&amp;[90000]"/>
            <x15:cachedUniqueName index="9" name="[Range].[Income].&amp;[100000]"/>
            <x15:cachedUniqueName index="10" name="[Range].[Income].&amp;[110000]"/>
            <x15:cachedUniqueName index="11" name="[Range].[Income].&amp;[120000]"/>
            <x15:cachedUniqueName index="12" name="[Range].[Income].&amp;[130000]"/>
            <x15:cachedUniqueName index="13" name="[Range].[Income].&amp;[150000]"/>
            <x15:cachedUniqueName index="14" name="[Range].[Income].&amp;[160000]"/>
            <x15:cachedUniqueName index="15" name="[Range].[Income].&amp;[170000]"/>
          </x15:cachedUniqueNames>
        </ext>
      </extLst>
    </cacheField>
    <cacheField name="[Measures].[Count of Purchased Bike 2]" caption="Count of Purchased Bike 2" numFmtId="0" hierarchy="39" level="32767"/>
    <cacheField name="[Range].[Region].[Region]" caption="Region" numFmtId="0" hierarchy="10" level="1">
      <sharedItems containsSemiMixedTypes="0" containsNonDate="0" containsString="0"/>
    </cacheField>
  </cacheFields>
  <cacheHierarchies count="41">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2" memberValueDatatype="20" unbalanced="0">
      <fieldsUsage count="2">
        <fieldUsage x="-1"/>
        <fieldUsage x="0"/>
      </fieldsUsage>
    </cacheHierarchy>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0" memberValueDatatype="20" unbalanced="0"/>
    <cacheHierarchy uniqueName="[Range].[Purchased Bike]" caption="Purchased Bike" attribute="1" defaultMemberUniqueName="[Range].[Purchased Bike].[All]" allUniqueName="[Range].[Purchased Bike].[All]" dimensionUniqueName="[Range]" displayFolder="" count="2" memberValueDatatype="130" unbalanced="0"/>
    <cacheHierarchy uniqueName="[Table2].[ID]" caption="ID" attribute="1" defaultMemberUniqueName="[Table2].[ID].[All]" allUniqueName="[Table2].[ID].[All]" dimensionUniqueName="[Table2]" displayFolder="" count="0" memberValueDatatype="20" unbalanced="0"/>
    <cacheHierarchy uniqueName="[Table2].[Marital Status]" caption="Marital Status" attribute="1" defaultMemberUniqueName="[Table2].[Marital Status].[All]" allUniqueName="[Table2].[Marital Status].[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Income]" caption="Income" attribute="1" defaultMemberUniqueName="[Table2].[Income].[All]" allUniqueName="[Table2].[Income].[All]" dimensionUniqueName="[Table2]" displayFolder="" count="0" memberValueDatatype="20" unbalanced="0"/>
    <cacheHierarchy uniqueName="[Table2].[Children]" caption="Children" attribute="1" defaultMemberUniqueName="[Table2].[Children].[All]" allUniqueName="[Table2].[Children].[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130" unbalanced="0"/>
    <cacheHierarchy uniqueName="[Table2].[Occupation]" caption="Occupation" attribute="1" defaultMemberUniqueName="[Table2].[Occupation].[All]" allUniqueName="[Table2].[Occupation].[All]" dimensionUniqueName="[Table2]" displayFolder="" count="0" memberValueDatatype="130" unbalanced="0"/>
    <cacheHierarchy uniqueName="[Table2].[Home Owner]" caption="Home Owner" attribute="1" defaultMemberUniqueName="[Table2].[Home Owner].[All]" allUniqueName="[Table2].[Home Owner].[All]" dimensionUniqueName="[Table2]" displayFolder="" count="0" memberValueDatatype="130" unbalanced="0"/>
    <cacheHierarchy uniqueName="[Table2].[Cars]" caption="Cars" attribute="1" defaultMemberUniqueName="[Table2].[Cars].[All]" allUniqueName="[Table2].[Cars].[All]" dimensionUniqueName="[Table2]" displayFolder="" count="0" memberValueDatatype="20" unbalanced="0"/>
    <cacheHierarchy uniqueName="[Table2].[Commute Distance]" caption="Commute Distance" attribute="1" defaultMemberUniqueName="[Table2].[Commute Distance].[All]" allUniqueName="[Table2].[Commute Distance].[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Purchased Bike]" caption="Purchased Bike" attribute="1" defaultMemberUniqueName="[Table2].[Purchased Bike].[All]" allUniqueName="[Table2].[Purchased Bike].[All]" dimensionUniqueName="[Table2]" displayFolder="" count="0" memberValueDatatype="130" unbalanced="0"/>
    <cacheHierarchy uniqueName="[Measures].[__XL_Count Table2]" caption="__XL_Count Table2" measure="1" displayFolder="" measureGroup="Table2"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Table2" count="0" hidden="1">
      <extLst>
        <ext xmlns:x15="http://schemas.microsoft.com/office/spreadsheetml/2010/11/main" uri="{B97F6D7D-B522-45F9-BDA1-12C45D357490}">
          <x15:cacheHierarchy aggregatedColumn="13"/>
        </ext>
      </extLst>
    </cacheHierarchy>
    <cacheHierarchy uniqueName="[Measures].[Count of ID]" caption="Count of ID" measure="1" displayFolder="" measureGroup="Table2" count="0" hidden="1">
      <extLst>
        <ext xmlns:x15="http://schemas.microsoft.com/office/spreadsheetml/2010/11/main" uri="{B97F6D7D-B522-45F9-BDA1-12C45D357490}">
          <x15:cacheHierarchy aggregatedColumn="13"/>
        </ext>
      </extLst>
    </cacheHierarchy>
    <cacheHierarchy uniqueName="[Measures].[Sum of Income]" caption="Sum of Income" measure="1" displayFolder="" measureGroup="Table2" count="0" hidden="1">
      <extLst>
        <ext xmlns:x15="http://schemas.microsoft.com/office/spreadsheetml/2010/11/main" uri="{B97F6D7D-B522-45F9-BDA1-12C45D357490}">
          <x15:cacheHierarchy aggregatedColumn="16"/>
        </ext>
      </extLst>
    </cacheHierarchy>
    <cacheHierarchy uniqueName="[Measures].[Average of Income]" caption="Average of Income" measure="1" displayFolder="" measureGroup="Table2" count="0" hidden="1">
      <extLst>
        <ext xmlns:x15="http://schemas.microsoft.com/office/spreadsheetml/2010/11/main" uri="{B97F6D7D-B522-45F9-BDA1-12C45D357490}">
          <x15:cacheHierarchy aggregatedColumn="16"/>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able2" count="0" hidden="1">
      <extLst>
        <ext xmlns:x15="http://schemas.microsoft.com/office/spreadsheetml/2010/11/main" uri="{B97F6D7D-B522-45F9-BDA1-12C45D357490}">
          <x15:cacheHierarchy aggregatedColumn="24"/>
        </ext>
      </extLst>
    </cacheHierarchy>
    <cacheHierarchy uniqueName="[Measures].[Count of Purchased Bike]" caption="Count of Purchased Bike" measure="1" displayFolder="" measureGroup="Table2" count="0" hidden="1">
      <extLst>
        <ext xmlns:x15="http://schemas.microsoft.com/office/spreadsheetml/2010/11/main" uri="{B97F6D7D-B522-45F9-BDA1-12C45D357490}">
          <x15:cacheHierarchy aggregatedColumn="25"/>
        </ext>
      </extLst>
    </cacheHierarchy>
    <cacheHierarchy uniqueName="[Measures].[Count of Occupation]" caption="Count of Occupation" measure="1" displayFolder="" measureGroup="Range" count="0" hidden="1">
      <extLst>
        <ext xmlns:x15="http://schemas.microsoft.com/office/spreadsheetml/2010/11/main" uri="{B97F6D7D-B522-45F9-BDA1-12C45D357490}">
          <x15:cacheHierarchy aggregatedColumn="6"/>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10"/>
        </ext>
      </extLst>
    </cacheHierarchy>
    <cacheHierarchy uniqueName="[Measures].[Min of Region]" caption="Min of Region" measure="1" displayFolder="" measureGroup="Range" count="0" hidden="1">
      <extLst>
        <ext xmlns:x15="http://schemas.microsoft.com/office/spreadsheetml/2010/11/main" uri="{B97F6D7D-B522-45F9-BDA1-12C45D357490}">
          <x15:cacheHierarchy aggregatedColumn="10"/>
        </ext>
      </extLst>
    </cacheHierarchy>
    <cacheHierarchy uniqueName="[Measures].[Count of Purchased Bike 2]" caption="Count of Purchased Bike 2" measure="1" displayFolder="" measureGroup="Rang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Income 2]" caption="Sum of Income 2" measure="1" displayFolder="" measureGroup="Range"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5.785660648151" backgroundQuery="1" createdVersion="7" refreshedVersion="7" minRefreshableVersion="3" recordCount="0" supportSubquery="1" supportAdvancedDrill="1" xr:uid="{2E72BB9B-27E3-4AD2-BEEA-DA7C35040056}">
  <cacheSource type="external" connectionId="2"/>
  <cacheFields count="3">
    <cacheField name="[Range].[Commute Distance].[Commute Distance]" caption="Commute Distance" numFmtId="0" hierarchy="9" level="1">
      <sharedItems count="5">
        <s v="0-1 Miles"/>
        <s v="10+ Miles"/>
        <s v="1-2 Miles"/>
        <s v="2-5 Miles"/>
        <s v="5-10 Miles"/>
      </sharedItems>
      <extLst>
        <ext xmlns:x15="http://schemas.microsoft.com/office/spreadsheetml/2010/11/main" uri="{4F2E5C28-24EA-4eb8-9CBF-B6C8F9C3D259}">
          <x15:cachedUniqueNames>
            <x15:cachedUniqueName index="0" name="[Range].[Commute Distance].&amp;[0-1 Miles]"/>
            <x15:cachedUniqueName index="1" name="[Range].[Commute Distance].&amp;[10+ Miles]"/>
            <x15:cachedUniqueName index="2" name="[Range].[Commute Distance].&amp;[1-2 Miles]"/>
            <x15:cachedUniqueName index="3" name="[Range].[Commute Distance].&amp;[2-5 Miles]"/>
            <x15:cachedUniqueName index="4" name="[Range].[Commute Distance].&amp;[5-10 Miles]"/>
          </x15:cachedUniqueNames>
        </ext>
      </extLst>
    </cacheField>
    <cacheField name="[Measures].[Count of Purchased Bike 2]" caption="Count of Purchased Bike 2" numFmtId="0" hierarchy="39" level="32767"/>
    <cacheField name="[Range].[Region].[Region]" caption="Region" numFmtId="0" hierarchy="10" level="1">
      <sharedItems containsSemiMixedTypes="0" containsNonDate="0" containsString="0"/>
    </cacheField>
  </cacheFields>
  <cacheHierarchies count="41">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Income]" caption="Income" attribute="1" defaultMemberUniqueName="[Range].[Income].[All]" allUniqueName="[Range].[Income].[All]" dimensionUniqueName="[Range]" displayFolder="" count="2"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2" memberValueDatatype="130" unbalanced="0">
      <fieldsUsage count="2">
        <fieldUsage x="-1"/>
        <fieldUsage x="0"/>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2" memberValueDatatype="20" unbalanced="0"/>
    <cacheHierarchy uniqueName="[Range].[Purchased Bike]" caption="Purchased Bike" attribute="1" defaultMemberUniqueName="[Range].[Purchased Bike].[All]" allUniqueName="[Range].[Purchased Bike].[All]" dimensionUniqueName="[Range]" displayFolder="" count="0" memberValueDatatype="130" unbalanced="0"/>
    <cacheHierarchy uniqueName="[Table2].[ID]" caption="ID" attribute="1" defaultMemberUniqueName="[Table2].[ID].[All]" allUniqueName="[Table2].[ID].[All]" dimensionUniqueName="[Table2]" displayFolder="" count="0" memberValueDatatype="20" unbalanced="0"/>
    <cacheHierarchy uniqueName="[Table2].[Marital Status]" caption="Marital Status" attribute="1" defaultMemberUniqueName="[Table2].[Marital Status].[All]" allUniqueName="[Table2].[Marital Status].[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Income]" caption="Income" attribute="1" defaultMemberUniqueName="[Table2].[Income].[All]" allUniqueName="[Table2].[Income].[All]" dimensionUniqueName="[Table2]" displayFolder="" count="0" memberValueDatatype="20" unbalanced="0"/>
    <cacheHierarchy uniqueName="[Table2].[Children]" caption="Children" attribute="1" defaultMemberUniqueName="[Table2].[Children].[All]" allUniqueName="[Table2].[Children].[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130" unbalanced="0"/>
    <cacheHierarchy uniqueName="[Table2].[Occupation]" caption="Occupation" attribute="1" defaultMemberUniqueName="[Table2].[Occupation].[All]" allUniqueName="[Table2].[Occupation].[All]" dimensionUniqueName="[Table2]" displayFolder="" count="0" memberValueDatatype="130" unbalanced="0"/>
    <cacheHierarchy uniqueName="[Table2].[Home Owner]" caption="Home Owner" attribute="1" defaultMemberUniqueName="[Table2].[Home Owner].[All]" allUniqueName="[Table2].[Home Owner].[All]" dimensionUniqueName="[Table2]" displayFolder="" count="0" memberValueDatatype="130" unbalanced="0"/>
    <cacheHierarchy uniqueName="[Table2].[Cars]" caption="Cars" attribute="1" defaultMemberUniqueName="[Table2].[Cars].[All]" allUniqueName="[Table2].[Cars].[All]" dimensionUniqueName="[Table2]" displayFolder="" count="0" memberValueDatatype="20" unbalanced="0"/>
    <cacheHierarchy uniqueName="[Table2].[Commute Distance]" caption="Commute Distance" attribute="1" defaultMemberUniqueName="[Table2].[Commute Distance].[All]" allUniqueName="[Table2].[Commute Distance].[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Purchased Bike]" caption="Purchased Bike" attribute="1" defaultMemberUniqueName="[Table2].[Purchased Bike].[All]" allUniqueName="[Table2].[Purchased Bike].[All]" dimensionUniqueName="[Table2]" displayFolder="" count="0" memberValueDatatype="130" unbalanced="0"/>
    <cacheHierarchy uniqueName="[Measures].[__XL_Count Table2]" caption="__XL_Count Table2" measure="1" displayFolder="" measureGroup="Table2"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Table2" count="0" hidden="1">
      <extLst>
        <ext xmlns:x15="http://schemas.microsoft.com/office/spreadsheetml/2010/11/main" uri="{B97F6D7D-B522-45F9-BDA1-12C45D357490}">
          <x15:cacheHierarchy aggregatedColumn="13"/>
        </ext>
      </extLst>
    </cacheHierarchy>
    <cacheHierarchy uniqueName="[Measures].[Count of ID]" caption="Count of ID" measure="1" displayFolder="" measureGroup="Table2" count="0" hidden="1">
      <extLst>
        <ext xmlns:x15="http://schemas.microsoft.com/office/spreadsheetml/2010/11/main" uri="{B97F6D7D-B522-45F9-BDA1-12C45D357490}">
          <x15:cacheHierarchy aggregatedColumn="13"/>
        </ext>
      </extLst>
    </cacheHierarchy>
    <cacheHierarchy uniqueName="[Measures].[Sum of Income]" caption="Sum of Income" measure="1" displayFolder="" measureGroup="Table2" count="0" hidden="1">
      <extLst>
        <ext xmlns:x15="http://schemas.microsoft.com/office/spreadsheetml/2010/11/main" uri="{B97F6D7D-B522-45F9-BDA1-12C45D357490}">
          <x15:cacheHierarchy aggregatedColumn="16"/>
        </ext>
      </extLst>
    </cacheHierarchy>
    <cacheHierarchy uniqueName="[Measures].[Average of Income]" caption="Average of Income" measure="1" displayFolder="" measureGroup="Table2" count="0" hidden="1">
      <extLst>
        <ext xmlns:x15="http://schemas.microsoft.com/office/spreadsheetml/2010/11/main" uri="{B97F6D7D-B522-45F9-BDA1-12C45D357490}">
          <x15:cacheHierarchy aggregatedColumn="16"/>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able2" count="0" hidden="1">
      <extLst>
        <ext xmlns:x15="http://schemas.microsoft.com/office/spreadsheetml/2010/11/main" uri="{B97F6D7D-B522-45F9-BDA1-12C45D357490}">
          <x15:cacheHierarchy aggregatedColumn="24"/>
        </ext>
      </extLst>
    </cacheHierarchy>
    <cacheHierarchy uniqueName="[Measures].[Count of Purchased Bike]" caption="Count of Purchased Bike" measure="1" displayFolder="" measureGroup="Table2" count="0" hidden="1">
      <extLst>
        <ext xmlns:x15="http://schemas.microsoft.com/office/spreadsheetml/2010/11/main" uri="{B97F6D7D-B522-45F9-BDA1-12C45D357490}">
          <x15:cacheHierarchy aggregatedColumn="25"/>
        </ext>
      </extLst>
    </cacheHierarchy>
    <cacheHierarchy uniqueName="[Measures].[Count of Occupation]" caption="Count of Occupation" measure="1" displayFolder="" measureGroup="Range" count="0" hidden="1">
      <extLst>
        <ext xmlns:x15="http://schemas.microsoft.com/office/spreadsheetml/2010/11/main" uri="{B97F6D7D-B522-45F9-BDA1-12C45D357490}">
          <x15:cacheHierarchy aggregatedColumn="6"/>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10"/>
        </ext>
      </extLst>
    </cacheHierarchy>
    <cacheHierarchy uniqueName="[Measures].[Min of Region]" caption="Min of Region" measure="1" displayFolder="" measureGroup="Range" count="0" hidden="1">
      <extLst>
        <ext xmlns:x15="http://schemas.microsoft.com/office/spreadsheetml/2010/11/main" uri="{B97F6D7D-B522-45F9-BDA1-12C45D357490}">
          <x15:cacheHierarchy aggregatedColumn="10"/>
        </ext>
      </extLst>
    </cacheHierarchy>
    <cacheHierarchy uniqueName="[Measures].[Count of Purchased Bike 2]" caption="Count of Purchased Bike 2" measure="1" displayFolder="" measureGroup="Rang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Income 2]" caption="Sum of Income 2" measure="1" displayFolder="" measureGroup="Range"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5.734604745368" backgroundQuery="1" createdVersion="3" refreshedVersion="7" minRefreshableVersion="3" recordCount="0" supportSubquery="1" supportAdvancedDrill="1" xr:uid="{25EE1978-BE80-48F6-A0D6-5BEA3E907042}">
  <cacheSource type="external" connectionId="2">
    <extLst>
      <ext xmlns:x14="http://schemas.microsoft.com/office/spreadsheetml/2009/9/main" uri="{F057638F-6D5F-4e77-A914-E7F072B9BCA8}">
        <x14:sourceConnection name="ThisWorkbookDataModel"/>
      </ext>
    </extLst>
  </cacheSource>
  <cacheFields count="0"/>
  <cacheHierarchies count="41">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2"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Purchased Bike]" caption="Purchased Bike" attribute="1" defaultMemberUniqueName="[Range].[Purchased Bike].[All]" allUniqueName="[Range].[Purchased Bike].[All]" dimensionUniqueName="[Range]" displayFolder="" count="0" memberValueDatatype="130" unbalanced="0"/>
    <cacheHierarchy uniqueName="[Table2].[ID]" caption="ID" attribute="1" defaultMemberUniqueName="[Table2].[ID].[All]" allUniqueName="[Table2].[ID].[All]" dimensionUniqueName="[Table2]" displayFolder="" count="0" memberValueDatatype="20" unbalanced="0"/>
    <cacheHierarchy uniqueName="[Table2].[Marital Status]" caption="Marital Status" attribute="1" defaultMemberUniqueName="[Table2].[Marital Status].[All]" allUniqueName="[Table2].[Marital Status].[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Income]" caption="Income" attribute="1" defaultMemberUniqueName="[Table2].[Income].[All]" allUniqueName="[Table2].[Income].[All]" dimensionUniqueName="[Table2]" displayFolder="" count="0" memberValueDatatype="20" unbalanced="0"/>
    <cacheHierarchy uniqueName="[Table2].[Children]" caption="Children" attribute="1" defaultMemberUniqueName="[Table2].[Children].[All]" allUniqueName="[Table2].[Children].[All]" dimensionUniqueName="[Table2]" displayFolder="" count="0" memberValueDatatype="20" unbalanced="0"/>
    <cacheHierarchy uniqueName="[Table2].[Education]" caption="Education" attribute="1" defaultMemberUniqueName="[Table2].[Education].[All]" allUniqueName="[Table2].[Education].[All]" dimensionUniqueName="[Table2]" displayFolder="" count="0" memberValueDatatype="130" unbalanced="0"/>
    <cacheHierarchy uniqueName="[Table2].[Occupation]" caption="Occupation" attribute="1" defaultMemberUniqueName="[Table2].[Occupation].[All]" allUniqueName="[Table2].[Occupation].[All]" dimensionUniqueName="[Table2]" displayFolder="" count="0" memberValueDatatype="130" unbalanced="0"/>
    <cacheHierarchy uniqueName="[Table2].[Home Owner]" caption="Home Owner" attribute="1" defaultMemberUniqueName="[Table2].[Home Owner].[All]" allUniqueName="[Table2].[Home Owner].[All]" dimensionUniqueName="[Table2]" displayFolder="" count="0" memberValueDatatype="130" unbalanced="0"/>
    <cacheHierarchy uniqueName="[Table2].[Cars]" caption="Cars" attribute="1" defaultMemberUniqueName="[Table2].[Cars].[All]" allUniqueName="[Table2].[Cars].[All]" dimensionUniqueName="[Table2]" displayFolder="" count="0" memberValueDatatype="20" unbalanced="0"/>
    <cacheHierarchy uniqueName="[Table2].[Commute Distance]" caption="Commute Distance" attribute="1" defaultMemberUniqueName="[Table2].[Commute Distance].[All]" allUniqueName="[Table2].[Commute Distance].[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Purchased Bike]" caption="Purchased Bike" attribute="1" defaultMemberUniqueName="[Table2].[Purchased Bike].[All]" allUniqueName="[Table2].[Purchased Bike].[All]" dimensionUniqueName="[Table2]" displayFolder="" count="0" memberValueDatatype="130" unbalanced="0"/>
    <cacheHierarchy uniqueName="[Measures].[__XL_Count Table2]" caption="__XL_Count Table2" measure="1" displayFolder="" measureGroup="Table2"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D]" caption="Sum of ID" measure="1" displayFolder="" measureGroup="Table2" count="0" hidden="1">
      <extLst>
        <ext xmlns:x15="http://schemas.microsoft.com/office/spreadsheetml/2010/11/main" uri="{B97F6D7D-B522-45F9-BDA1-12C45D357490}">
          <x15:cacheHierarchy aggregatedColumn="13"/>
        </ext>
      </extLst>
    </cacheHierarchy>
    <cacheHierarchy uniqueName="[Measures].[Count of ID]" caption="Count of ID" measure="1" displayFolder="" measureGroup="Table2" count="0" hidden="1">
      <extLst>
        <ext xmlns:x15="http://schemas.microsoft.com/office/spreadsheetml/2010/11/main" uri="{B97F6D7D-B522-45F9-BDA1-12C45D357490}">
          <x15:cacheHierarchy aggregatedColumn="13"/>
        </ext>
      </extLst>
    </cacheHierarchy>
    <cacheHierarchy uniqueName="[Measures].[Sum of Income]" caption="Sum of Income" measure="1" displayFolder="" measureGroup="Table2" count="0" hidden="1">
      <extLst>
        <ext xmlns:x15="http://schemas.microsoft.com/office/spreadsheetml/2010/11/main" uri="{B97F6D7D-B522-45F9-BDA1-12C45D357490}">
          <x15:cacheHierarchy aggregatedColumn="16"/>
        </ext>
      </extLst>
    </cacheHierarchy>
    <cacheHierarchy uniqueName="[Measures].[Average of Income]" caption="Average of Income" measure="1" displayFolder="" measureGroup="Table2" count="0" hidden="1">
      <extLst>
        <ext xmlns:x15="http://schemas.microsoft.com/office/spreadsheetml/2010/11/main" uri="{B97F6D7D-B522-45F9-BDA1-12C45D357490}">
          <x15:cacheHierarchy aggregatedColumn="16"/>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Table2" count="0" hidden="1">
      <extLst>
        <ext xmlns:x15="http://schemas.microsoft.com/office/spreadsheetml/2010/11/main" uri="{B97F6D7D-B522-45F9-BDA1-12C45D357490}">
          <x15:cacheHierarchy aggregatedColumn="24"/>
        </ext>
      </extLst>
    </cacheHierarchy>
    <cacheHierarchy uniqueName="[Measures].[Count of Purchased Bike]" caption="Count of Purchased Bike" measure="1" displayFolder="" measureGroup="Table2" count="0" hidden="1">
      <extLst>
        <ext xmlns:x15="http://schemas.microsoft.com/office/spreadsheetml/2010/11/main" uri="{B97F6D7D-B522-45F9-BDA1-12C45D357490}">
          <x15:cacheHierarchy aggregatedColumn="25"/>
        </ext>
      </extLst>
    </cacheHierarchy>
    <cacheHierarchy uniqueName="[Measures].[Count of Occupation]" caption="Count of Occupation" measure="1" displayFolder="" measureGroup="Range" count="0" hidden="1">
      <extLst>
        <ext xmlns:x15="http://schemas.microsoft.com/office/spreadsheetml/2010/11/main" uri="{B97F6D7D-B522-45F9-BDA1-12C45D357490}">
          <x15:cacheHierarchy aggregatedColumn="6"/>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10"/>
        </ext>
      </extLst>
    </cacheHierarchy>
    <cacheHierarchy uniqueName="[Measures].[Min of Region]" caption="Min of Region" measure="1" displayFolder="" measureGroup="Range" count="0" hidden="1">
      <extLst>
        <ext xmlns:x15="http://schemas.microsoft.com/office/spreadsheetml/2010/11/main" uri="{B97F6D7D-B522-45F9-BDA1-12C45D357490}">
          <x15:cacheHierarchy aggregatedColumn="10"/>
        </ext>
      </extLst>
    </cacheHierarchy>
    <cacheHierarchy uniqueName="[Measures].[Count of Purchased Bike 2]" caption="Count of Purchased Bike 2" measure="1" displayFolder="" measureGroup="Range" count="0" hidden="1">
      <extLst>
        <ext xmlns:x15="http://schemas.microsoft.com/office/spreadsheetml/2010/11/main" uri="{B97F6D7D-B522-45F9-BDA1-12C45D357490}">
          <x15:cacheHierarchy aggregatedColumn="12"/>
        </ext>
      </extLst>
    </cacheHierarchy>
    <cacheHierarchy uniqueName="[Measures].[Sum of Income 2]" caption="Sum of Income 2" measure="1" displayFolder="" measureGroup="Range"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31745232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492E39-B840-474E-9888-FB506E9D19ED}" name="PivotTable13" cacheId="105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urchased Bike">
  <location ref="I3:J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 Purchased Bike" fld="1" subtotal="count" showDataAs="percentOfTotal" baseField="0" baseItem="0" numFmtId="17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Customers"/>
    <pivotHierarchy dragToData="1"/>
    <pivotHierarchy dragToData="1"/>
    <pivotHierarchy dragToData="1"/>
    <pivotHierarchy dragToData="1"/>
    <pivotHierarchy dragToData="1" caption="% Purchased Bik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 Sales Analysis.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2B7752-CFB2-4FAB-93ED-4C03D2A9F32C}" name="PivotTable12" cacheId="105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urchased Bike">
  <location ref="F3:G6"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Average  Age" fld="0" subtotal="average" baseField="0" baseItem="0" numFmtId="165"/>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Customers"/>
    <pivotHierarchy dragToData="1"/>
    <pivotHierarchy dragToData="1"/>
    <pivotHierarchy dragToData="1"/>
    <pivotHierarchy dragToData="1" caption="Average  Ag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 Sales Analysis.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226855-C15E-4C6B-88CF-1E3A62809B2B}" name="PivotTable11" cacheId="105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Bike Purchase">
  <location ref="C3:D6"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Average Income" fld="0" subtotal="average" baseField="0" baseItem="0" numFmtId="166"/>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Customers"/>
    <pivotHierarchy dragToData="1"/>
    <pivotHierarchy dragToData="1" caption="Average Inco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 Sales Analysis.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FFEC49-47F9-4F45-AC82-CC345819706E}" name="PivotTable10" cacheId="105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Total Customers" fld="0"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Custom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 Sales Analysis.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EEFDD6-F700-4CEB-814D-FEAB72332FF7}" name="PivotTable18" cacheId="115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Education">
  <location ref="A53:B59"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i>
    <i>
      <x v="3"/>
    </i>
    <i>
      <x v="2"/>
    </i>
    <i>
      <x v="1"/>
    </i>
    <i>
      <x v="4"/>
    </i>
    <i t="grand">
      <x/>
    </i>
  </rowItems>
  <colItems count="1">
    <i/>
  </colItems>
  <dataFields count="1">
    <dataField name="Count of Purchased Bike" fld="1"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gion"/>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_buyers!$A:$M">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203488-A400-4C2E-8586-3A79695F1E3E}" name="PivotTable17" cacheId="113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Education">
  <location ref="A43:B49"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i>
    <i>
      <x v="3"/>
    </i>
    <i>
      <x v="2"/>
    </i>
    <i>
      <x v="1"/>
    </i>
    <i>
      <x v="4"/>
    </i>
    <i t="grand">
      <x/>
    </i>
  </rowItems>
  <colItems count="1">
    <i/>
  </colItems>
  <dataFields count="1">
    <dataField name="Count of Purchased Bike"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gion"/>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_buyers!$A:$M">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DB15F6-842E-49D5-B8E9-DF60AED3A2C2}" name="PivotTable16" cacheId="14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Commute Distance" colHeaderCaption="Gender">
  <location ref="A32:B38"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4"/>
    </i>
    <i>
      <x v="2"/>
    </i>
    <i>
      <x v="3"/>
    </i>
    <i>
      <x v="1"/>
    </i>
    <i t="grand">
      <x/>
    </i>
  </rowItems>
  <colItems count="1">
    <i/>
  </colItems>
  <dataFields count="1">
    <dataField name="Count of Purchased Bike"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gion"/>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_buyers!$A:$M">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0A1EAB7-D497-49E4-B0C6-1F52EFE2114B}" name="PivotTable15" cacheId="140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1:B28" firstHeaderRow="1" firstDataRow="1" firstDataCol="1"/>
  <pivotFields count="3">
    <pivotField axis="axisRow" allDrilled="1" subtotalTop="0" showAll="0" sortType="de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7">
    <i>
      <x v="5"/>
    </i>
    <i>
      <x v="3"/>
    </i>
    <i>
      <x v="2"/>
    </i>
    <i>
      <x v="6"/>
    </i>
    <i>
      <x v="7"/>
    </i>
    <i>
      <x v="1"/>
    </i>
    <i>
      <x/>
    </i>
    <i>
      <x v="4"/>
    </i>
    <i>
      <x v="8"/>
    </i>
    <i>
      <x v="12"/>
    </i>
    <i>
      <x v="9"/>
    </i>
    <i>
      <x v="11"/>
    </i>
    <i>
      <x v="10"/>
    </i>
    <i>
      <x v="13"/>
    </i>
    <i>
      <x v="15"/>
    </i>
    <i>
      <x v="14"/>
    </i>
    <i t="grand">
      <x/>
    </i>
  </rowItems>
  <colItems count="1">
    <i/>
  </colItems>
  <dataFields count="1">
    <dataField name="Count of Purchased Bike"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gion"/>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_buyers!$A:$M">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F140AA-1CD8-4F33-B6CE-A2B9D3D2B455}" name="PivotTable14" cacheId="140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Region">
  <location ref="A3:B7"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Count of Purchased Bike" fld="0"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 count="1" selected="0">
            <x v="0"/>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2">
          <reference field="4294967294" count="1" selected="0">
            <x v="0"/>
          </reference>
          <reference field="1" count="1" selected="0">
            <x v="2"/>
          </reference>
        </references>
      </pivotArea>
    </chartFormat>
  </chartFormats>
  <pivotHierarchies count="4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gion"/>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_buyers!$A:$M">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08A10C3-8AE0-4376-B6DB-B6F0509B50DD}" sourceName="[Range].[Region]">
  <pivotTables>
    <pivotTable tabId="18" name="PivotTable14"/>
    <pivotTable tabId="18" name="PivotTable15"/>
    <pivotTable tabId="18" name="PivotTable16"/>
  </pivotTables>
  <data>
    <olap pivotCacheId="1317452326">
      <levels count="2">
        <level uniqueName="[Range].[Region].[(All)]" sourceCaption="(All)" count="0"/>
        <level uniqueName="[Range].[Region].[Region]" sourceCaption="Region" count="4">
          <ranges>
            <range startItem="0">
              <i n="[Range].[Region].&amp;[Europe]" c="Europe"/>
              <i n="[Range].[Region].&amp;[North America]" c="North America"/>
              <i n="[Range].[Region].&amp;[Pacific]" c="Pacific"/>
              <i n="[Range].[Region].&amp;" c="(blank)" nd="1"/>
            </range>
          </ranges>
        </level>
      </levels>
      <selections count="1">
        <selection n="[Range].[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 xr10:uid="{0B7D7447-1540-4C06-94F4-60E1FF8D9B01}" sourceName="[Range].[Income]">
  <pivotTables>
    <pivotTable tabId="18" name="PivotTable14"/>
    <pivotTable tabId="18" name="PivotTable15"/>
    <pivotTable tabId="18" name="PivotTable16"/>
  </pivotTables>
  <data>
    <olap pivotCacheId="1317452326">
      <levels count="2">
        <level uniqueName="[Range].[Income].[(All)]" sourceCaption="(All)" count="0"/>
        <level uniqueName="[Range].[Income].[Income]" sourceCaption="Income" count="17">
          <ranges>
            <range startItem="0">
              <i n="[Range].[Income].&amp;[10000]" c="10000"/>
              <i n="[Range].[Income].&amp;[20000]" c="20000"/>
              <i n="[Range].[Income].&amp;[30000]" c="30000"/>
              <i n="[Range].[Income].&amp;[40000]" c="40000"/>
              <i n="[Range].[Income].&amp;[50000]" c="50000"/>
              <i n="[Range].[Income].&amp;[60000]" c="60000"/>
              <i n="[Range].[Income].&amp;[70000]" c="70000"/>
              <i n="[Range].[Income].&amp;[80000]" c="80000"/>
              <i n="[Range].[Income].&amp;[90000]" c="90000"/>
              <i n="[Range].[Income].&amp;[100000]" c="100000"/>
              <i n="[Range].[Income].&amp;[110000]" c="110000"/>
              <i n="[Range].[Income].&amp;[120000]" c="120000"/>
              <i n="[Range].[Income].&amp;[130000]" c="130000"/>
              <i n="[Range].[Income].&amp;[150000]" c="150000"/>
              <i n="[Range].[Income].&amp;[160000]" c="160000"/>
              <i n="[Range].[Income].&amp;[170000]" c="170000"/>
              <i n="[Range].[Income].&amp;" c="(blank)" nd="1"/>
            </range>
          </ranges>
        </level>
      </levels>
      <selections count="1">
        <selection n="[Range].[Inco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ute_Distance" xr10:uid="{61044525-5F9D-4904-BC8A-BD64068302BE}" sourceName="[Range].[Commute Distance]">
  <pivotTables>
    <pivotTable tabId="18" name="PivotTable14"/>
    <pivotTable tabId="18" name="PivotTable15"/>
    <pivotTable tabId="18" name="PivotTable16"/>
  </pivotTables>
  <data>
    <olap pivotCacheId="1317452326">
      <levels count="2">
        <level uniqueName="[Range].[Commute Distance].[(All)]" sourceCaption="(All)" count="0"/>
        <level uniqueName="[Range].[Commute Distance].[Commute Distance]" sourceCaption="Commute Distance" count="6">
          <ranges>
            <range startItem="0">
              <i n="[Range].[Commute Distance].&amp;[0-1 Miles]" c="0-1 Miles"/>
              <i n="[Range].[Commute Distance].&amp;[10+ Miles]" c="10+ Miles"/>
              <i n="[Range].[Commute Distance].&amp;[1-2 Miles]" c="1-2 Miles"/>
              <i n="[Range].[Commute Distance].&amp;[2-5 Miles]" c="2-5 Miles"/>
              <i n="[Range].[Commute Distance].&amp;[5-10 Miles]" c="5-10 Miles"/>
              <i n="[Range].[Commute Distance].&amp;" c="(blank)" nd="1"/>
            </range>
          </ranges>
        </level>
      </levels>
      <selections count="1">
        <selection n="[Range].[Commute Distanc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ED9880D-3290-4EF2-8F42-4B3CD0EC5D82}" cache="Slicer_Region" caption="Region" level="1" rowHeight="230716"/>
  <slicer name="Income" xr10:uid="{9B857349-3039-41F8-807E-6A24B64A628F}" cache="Slicer_Income" caption="Income" startItem="5" level="1" rowHeight="230716"/>
  <slicer name="Commute Distance" xr10:uid="{EEA9FCBE-BB74-4853-BF99-25FF71062353}" cache="Slicer_Commute_Distance" caption="Commute Distance" level="1"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87A7E5-4620-4157-B957-42924C7896A9}" name="Table2" displayName="Table2" ref="A1:M1027" totalsRowShown="0">
  <autoFilter ref="A1:M1027" xr:uid="{A387A7E5-4620-4157-B957-42924C7896A9}">
    <filterColumn colId="12">
      <customFilters>
        <customFilter operator="notEqual" val=" "/>
      </customFilters>
    </filterColumn>
  </autoFilter>
  <tableColumns count="13">
    <tableColumn id="1" xr3:uid="{13F3C8CF-3989-4654-BC5B-B9CAE788C41B}" name="ID"/>
    <tableColumn id="2" xr3:uid="{E52925CE-8A1F-46D8-9FA3-E95A1ED1E10C}" name="Marital Status"/>
    <tableColumn id="3" xr3:uid="{EAD630CF-D495-49ED-9386-D9BD9BC428D3}" name="Gender"/>
    <tableColumn id="4" xr3:uid="{A5B395A3-F8B0-4FF4-9A57-C1AF662C86B1}" name="Income"/>
    <tableColumn id="5" xr3:uid="{8C9012C3-44A2-4084-8B0F-BAB6F7DBD4A9}" name="Children"/>
    <tableColumn id="6" xr3:uid="{93B27E54-F32A-4B24-8DE5-7D6FD664846F}" name="Education"/>
    <tableColumn id="7" xr3:uid="{E05F26F9-3A7B-44D6-9448-76D57E89A8B7}" name="Occupation"/>
    <tableColumn id="8" xr3:uid="{E3D91572-989B-4E14-9FB4-AF27D4B3DD24}" name="Home Owner"/>
    <tableColumn id="9" xr3:uid="{2F9B2C4B-7BA3-4C58-AFE5-6057ABEC0918}" name="Cars"/>
    <tableColumn id="10" xr3:uid="{13A4E1EA-AD70-43A8-9C6F-1ECB9A261F00}" name="Commute Distance"/>
    <tableColumn id="11" xr3:uid="{301DBF7F-3068-4B2D-997F-71064AE4137A}" name="Region"/>
    <tableColumn id="12" xr3:uid="{5E880775-E069-42F3-ACEA-B899476D18EF}" name="Age"/>
    <tableColumn id="13" xr3:uid="{D7B71FF6-BFB6-4C0D-9199-5C8170E9CCA2}"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1.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9369A-E379-469C-BEBF-2105B8AB797F}">
  <dimension ref="E2:E26"/>
  <sheetViews>
    <sheetView topLeftCell="A10" workbookViewId="0">
      <selection activeCell="E7" sqref="E7"/>
    </sheetView>
  </sheetViews>
  <sheetFormatPr defaultRowHeight="14.5" x14ac:dyDescent="0.35"/>
  <cols>
    <col min="5" max="5" width="90.26953125" customWidth="1"/>
  </cols>
  <sheetData>
    <row r="2" spans="5:5" ht="17.5" x14ac:dyDescent="0.35">
      <c r="E2" s="3" t="s">
        <v>36</v>
      </c>
    </row>
    <row r="3" spans="5:5" x14ac:dyDescent="0.35">
      <c r="E3" s="4"/>
    </row>
    <row r="4" spans="5:5" x14ac:dyDescent="0.35">
      <c r="E4" s="5" t="s">
        <v>37</v>
      </c>
    </row>
    <row r="5" spans="5:5" ht="43.5" x14ac:dyDescent="0.35">
      <c r="E5" s="4" t="s">
        <v>38</v>
      </c>
    </row>
    <row r="6" spans="5:5" x14ac:dyDescent="0.35">
      <c r="E6" s="4"/>
    </row>
    <row r="7" spans="5:5" ht="17.5" x14ac:dyDescent="0.35">
      <c r="E7" s="3" t="s">
        <v>39</v>
      </c>
    </row>
    <row r="8" spans="5:5" x14ac:dyDescent="0.35">
      <c r="E8" s="6"/>
    </row>
    <row r="9" spans="5:5" ht="29" x14ac:dyDescent="0.35">
      <c r="E9" s="7" t="s">
        <v>40</v>
      </c>
    </row>
    <row r="10" spans="5:5" ht="29" x14ac:dyDescent="0.35">
      <c r="E10" s="7" t="s">
        <v>41</v>
      </c>
    </row>
    <row r="11" spans="5:5" x14ac:dyDescent="0.35">
      <c r="E11" s="7" t="s">
        <v>42</v>
      </c>
    </row>
    <row r="12" spans="5:5" x14ac:dyDescent="0.35">
      <c r="E12" s="6" t="s">
        <v>43</v>
      </c>
    </row>
    <row r="13" spans="5:5" x14ac:dyDescent="0.35">
      <c r="E13" s="6" t="s">
        <v>44</v>
      </c>
    </row>
    <row r="14" spans="5:5" x14ac:dyDescent="0.35">
      <c r="E14" s="6" t="s">
        <v>45</v>
      </c>
    </row>
    <row r="15" spans="5:5" x14ac:dyDescent="0.35">
      <c r="E15" s="7" t="s">
        <v>46</v>
      </c>
    </row>
    <row r="16" spans="5:5" ht="29" x14ac:dyDescent="0.35">
      <c r="E16" s="6" t="s">
        <v>47</v>
      </c>
    </row>
    <row r="17" spans="5:5" x14ac:dyDescent="0.35">
      <c r="E17" s="6" t="s">
        <v>48</v>
      </c>
    </row>
    <row r="18" spans="5:5" ht="29" x14ac:dyDescent="0.35">
      <c r="E18" s="7" t="s">
        <v>49</v>
      </c>
    </row>
    <row r="19" spans="5:5" x14ac:dyDescent="0.35">
      <c r="E19" s="4"/>
    </row>
    <row r="20" spans="5:5" ht="17.5" x14ac:dyDescent="0.35">
      <c r="E20" s="3" t="s">
        <v>50</v>
      </c>
    </row>
    <row r="21" spans="5:5" x14ac:dyDescent="0.35">
      <c r="E21" s="6"/>
    </row>
    <row r="22" spans="5:5" x14ac:dyDescent="0.35">
      <c r="E22" s="6" t="s">
        <v>51</v>
      </c>
    </row>
    <row r="23" spans="5:5" x14ac:dyDescent="0.35">
      <c r="E23" s="6" t="s">
        <v>52</v>
      </c>
    </row>
    <row r="24" spans="5:5" x14ac:dyDescent="0.35">
      <c r="E24" s="6" t="s">
        <v>53</v>
      </c>
    </row>
    <row r="25" spans="5:5" x14ac:dyDescent="0.35">
      <c r="E25" s="4"/>
    </row>
    <row r="26" spans="5:5" ht="29" x14ac:dyDescent="0.35">
      <c r="E26" s="4" t="s">
        <v>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4E3B6-B2BC-4B94-9488-C5CF9868E5D4}">
  <dimension ref="A3:J6"/>
  <sheetViews>
    <sheetView workbookViewId="0">
      <selection activeCell="I15" sqref="I15"/>
    </sheetView>
  </sheetViews>
  <sheetFormatPr defaultRowHeight="14.5" x14ac:dyDescent="0.35"/>
  <cols>
    <col min="1" max="1" width="16" customWidth="1"/>
    <col min="3" max="3" width="13.6328125" customWidth="1"/>
    <col min="4" max="4" width="15.54296875" customWidth="1"/>
    <col min="6" max="6" width="13.6328125" customWidth="1"/>
    <col min="7" max="7" width="13" customWidth="1"/>
    <col min="9" max="9" width="17.08984375" customWidth="1"/>
    <col min="10" max="10" width="17" customWidth="1"/>
  </cols>
  <sheetData>
    <row r="3" spans="1:10" x14ac:dyDescent="0.35">
      <c r="A3" t="s">
        <v>58</v>
      </c>
      <c r="C3" s="9" t="s">
        <v>61</v>
      </c>
      <c r="D3" t="s">
        <v>60</v>
      </c>
      <c r="F3" s="9" t="s">
        <v>12</v>
      </c>
      <c r="G3" t="s">
        <v>62</v>
      </c>
      <c r="I3" s="9" t="s">
        <v>12</v>
      </c>
      <c r="J3" t="s">
        <v>59</v>
      </c>
    </row>
    <row r="4" spans="1:10" x14ac:dyDescent="0.35">
      <c r="A4" s="8">
        <v>1000</v>
      </c>
      <c r="C4" s="10" t="s">
        <v>18</v>
      </c>
      <c r="D4" s="12">
        <v>54874.759152215796</v>
      </c>
      <c r="F4" s="10" t="s">
        <v>18</v>
      </c>
      <c r="G4" s="11">
        <v>45.327552986512522</v>
      </c>
      <c r="I4" s="10" t="s">
        <v>18</v>
      </c>
      <c r="J4" s="13">
        <v>0.51900000000000002</v>
      </c>
    </row>
    <row r="5" spans="1:10" x14ac:dyDescent="0.35">
      <c r="C5" s="10" t="s">
        <v>15</v>
      </c>
      <c r="D5" s="12">
        <v>57962.577962577961</v>
      </c>
      <c r="F5" s="10" t="s">
        <v>15</v>
      </c>
      <c r="G5" s="11">
        <v>42.906444906444904</v>
      </c>
      <c r="I5" s="10" t="s">
        <v>15</v>
      </c>
      <c r="J5" s="13">
        <v>0.48099999999999998</v>
      </c>
    </row>
    <row r="6" spans="1:10" x14ac:dyDescent="0.35">
      <c r="C6" s="10" t="s">
        <v>56</v>
      </c>
      <c r="D6" s="12">
        <v>56360</v>
      </c>
      <c r="F6" s="10" t="s">
        <v>56</v>
      </c>
      <c r="G6" s="11">
        <v>44.162999999999997</v>
      </c>
      <c r="I6" s="10" t="s">
        <v>56</v>
      </c>
      <c r="J6" s="13">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D0136-0C94-42B6-8851-B454B740B03C}">
  <dimension ref="A3:AE59"/>
  <sheetViews>
    <sheetView workbookViewId="0">
      <selection activeCell="AJ54" sqref="AJ54"/>
    </sheetView>
  </sheetViews>
  <sheetFormatPr defaultRowHeight="14.5" x14ac:dyDescent="0.35"/>
  <cols>
    <col min="1" max="1" width="19.08984375" bestFit="1" customWidth="1"/>
    <col min="2" max="2" width="21.54296875" bestFit="1" customWidth="1"/>
    <col min="3" max="3" width="4.08984375" customWidth="1"/>
    <col min="4" max="4" width="11.90625" customWidth="1"/>
    <col min="5" max="32" width="3" customWidth="1"/>
    <col min="33" max="54" width="3" bestFit="1" customWidth="1"/>
    <col min="55" max="55" width="11.90625" bestFit="1" customWidth="1"/>
  </cols>
  <sheetData>
    <row r="3" spans="1:2" x14ac:dyDescent="0.35">
      <c r="A3" s="9" t="s">
        <v>10</v>
      </c>
      <c r="B3" t="s">
        <v>57</v>
      </c>
    </row>
    <row r="4" spans="1:2" x14ac:dyDescent="0.35">
      <c r="A4" s="10" t="s">
        <v>17</v>
      </c>
      <c r="B4" s="8">
        <v>300</v>
      </c>
    </row>
    <row r="5" spans="1:2" x14ac:dyDescent="0.35">
      <c r="A5" s="10" t="s">
        <v>32</v>
      </c>
      <c r="B5" s="8">
        <v>508</v>
      </c>
    </row>
    <row r="6" spans="1:2" x14ac:dyDescent="0.35">
      <c r="A6" s="10" t="s">
        <v>24</v>
      </c>
      <c r="B6" s="8">
        <v>192</v>
      </c>
    </row>
    <row r="7" spans="1:2" x14ac:dyDescent="0.35">
      <c r="A7" s="10" t="s">
        <v>56</v>
      </c>
      <c r="B7" s="8">
        <v>1000</v>
      </c>
    </row>
    <row r="11" spans="1:2" x14ac:dyDescent="0.35">
      <c r="A11" s="9" t="s">
        <v>55</v>
      </c>
      <c r="B11" t="s">
        <v>57</v>
      </c>
    </row>
    <row r="12" spans="1:2" x14ac:dyDescent="0.35">
      <c r="A12" s="10">
        <v>60000</v>
      </c>
      <c r="B12" s="8">
        <v>165</v>
      </c>
    </row>
    <row r="13" spans="1:2" x14ac:dyDescent="0.35">
      <c r="A13" s="10">
        <v>40000</v>
      </c>
      <c r="B13" s="8">
        <v>154</v>
      </c>
    </row>
    <row r="14" spans="1:2" x14ac:dyDescent="0.35">
      <c r="A14" s="10">
        <v>30000</v>
      </c>
      <c r="B14" s="8">
        <v>135</v>
      </c>
    </row>
    <row r="15" spans="1:2" x14ac:dyDescent="0.35">
      <c r="A15" s="10">
        <v>70000</v>
      </c>
      <c r="B15" s="8">
        <v>124</v>
      </c>
    </row>
    <row r="16" spans="1:2" x14ac:dyDescent="0.35">
      <c r="A16" s="10">
        <v>80000</v>
      </c>
      <c r="B16" s="8">
        <v>91</v>
      </c>
    </row>
    <row r="17" spans="1:2" x14ac:dyDescent="0.35">
      <c r="A17" s="10">
        <v>20000</v>
      </c>
      <c r="B17" s="8">
        <v>74</v>
      </c>
    </row>
    <row r="18" spans="1:2" x14ac:dyDescent="0.35">
      <c r="A18" s="10">
        <v>10000</v>
      </c>
      <c r="B18" s="8">
        <v>73</v>
      </c>
    </row>
    <row r="19" spans="1:2" x14ac:dyDescent="0.35">
      <c r="A19" s="10">
        <v>50000</v>
      </c>
      <c r="B19" s="8">
        <v>40</v>
      </c>
    </row>
    <row r="20" spans="1:2" x14ac:dyDescent="0.35">
      <c r="A20" s="10">
        <v>90000</v>
      </c>
      <c r="B20" s="8">
        <v>39</v>
      </c>
    </row>
    <row r="21" spans="1:2" x14ac:dyDescent="0.35">
      <c r="A21" s="10">
        <v>130000</v>
      </c>
      <c r="B21" s="8">
        <v>32</v>
      </c>
    </row>
    <row r="22" spans="1:2" x14ac:dyDescent="0.35">
      <c r="A22" s="10">
        <v>100000</v>
      </c>
      <c r="B22" s="8">
        <v>29</v>
      </c>
    </row>
    <row r="23" spans="1:2" x14ac:dyDescent="0.35">
      <c r="A23" s="10">
        <v>120000</v>
      </c>
      <c r="B23" s="8">
        <v>18</v>
      </c>
    </row>
    <row r="24" spans="1:2" x14ac:dyDescent="0.35">
      <c r="A24" s="10">
        <v>110000</v>
      </c>
      <c r="B24" s="8">
        <v>16</v>
      </c>
    </row>
    <row r="25" spans="1:2" x14ac:dyDescent="0.35">
      <c r="A25" s="10">
        <v>150000</v>
      </c>
      <c r="B25" s="8">
        <v>4</v>
      </c>
    </row>
    <row r="26" spans="1:2" x14ac:dyDescent="0.35">
      <c r="A26" s="10">
        <v>170000</v>
      </c>
      <c r="B26" s="8">
        <v>3</v>
      </c>
    </row>
    <row r="27" spans="1:2" x14ac:dyDescent="0.35">
      <c r="A27" s="10">
        <v>160000</v>
      </c>
      <c r="B27" s="8">
        <v>3</v>
      </c>
    </row>
    <row r="28" spans="1:2" x14ac:dyDescent="0.35">
      <c r="A28" s="10" t="s">
        <v>56</v>
      </c>
      <c r="B28" s="8">
        <v>1000</v>
      </c>
    </row>
    <row r="32" spans="1:2" x14ac:dyDescent="0.35">
      <c r="A32" s="9" t="s">
        <v>9</v>
      </c>
      <c r="B32" t="s">
        <v>57</v>
      </c>
    </row>
    <row r="33" spans="1:2" x14ac:dyDescent="0.35">
      <c r="A33" s="10" t="s">
        <v>16</v>
      </c>
      <c r="B33" s="8">
        <v>366</v>
      </c>
    </row>
    <row r="34" spans="1:2" x14ac:dyDescent="0.35">
      <c r="A34" s="10" t="s">
        <v>23</v>
      </c>
      <c r="B34" s="8">
        <v>192</v>
      </c>
    </row>
    <row r="35" spans="1:2" x14ac:dyDescent="0.35">
      <c r="A35" s="10" t="s">
        <v>26</v>
      </c>
      <c r="B35" s="8">
        <v>169</v>
      </c>
    </row>
    <row r="36" spans="1:2" x14ac:dyDescent="0.35">
      <c r="A36" s="10" t="s">
        <v>22</v>
      </c>
      <c r="B36" s="8">
        <v>162</v>
      </c>
    </row>
    <row r="37" spans="1:2" x14ac:dyDescent="0.35">
      <c r="A37" s="10" t="s">
        <v>30</v>
      </c>
      <c r="B37" s="8">
        <v>111</v>
      </c>
    </row>
    <row r="38" spans="1:2" x14ac:dyDescent="0.35">
      <c r="A38" s="10" t="s">
        <v>56</v>
      </c>
      <c r="B38" s="8">
        <v>1000</v>
      </c>
    </row>
    <row r="43" spans="1:2" x14ac:dyDescent="0.35">
      <c r="A43" s="9" t="s">
        <v>5</v>
      </c>
      <c r="B43" t="s">
        <v>57</v>
      </c>
    </row>
    <row r="44" spans="1:2" x14ac:dyDescent="0.35">
      <c r="A44" s="10" t="s">
        <v>13</v>
      </c>
      <c r="B44" s="8">
        <v>306</v>
      </c>
    </row>
    <row r="45" spans="1:2" x14ac:dyDescent="0.35">
      <c r="A45" s="10" t="s">
        <v>19</v>
      </c>
      <c r="B45" s="8">
        <v>265</v>
      </c>
    </row>
    <row r="46" spans="1:2" x14ac:dyDescent="0.35">
      <c r="A46" s="10" t="s">
        <v>27</v>
      </c>
      <c r="B46" s="8">
        <v>179</v>
      </c>
    </row>
    <row r="47" spans="1:2" x14ac:dyDescent="0.35">
      <c r="A47" s="10" t="s">
        <v>31</v>
      </c>
      <c r="B47" s="8">
        <v>174</v>
      </c>
    </row>
    <row r="48" spans="1:2" x14ac:dyDescent="0.35">
      <c r="A48" s="10" t="s">
        <v>29</v>
      </c>
      <c r="B48" s="8">
        <v>76</v>
      </c>
    </row>
    <row r="49" spans="1:31" x14ac:dyDescent="0.35">
      <c r="A49" s="10" t="s">
        <v>56</v>
      </c>
      <c r="B49" s="8">
        <v>1000</v>
      </c>
    </row>
    <row r="52" spans="1:31" ht="18.5" x14ac:dyDescent="0.45">
      <c r="AE52" s="14"/>
    </row>
    <row r="53" spans="1:31" ht="18.5" x14ac:dyDescent="0.45">
      <c r="A53" s="9" t="s">
        <v>5</v>
      </c>
      <c r="B53" t="s">
        <v>57</v>
      </c>
      <c r="AE53" s="14"/>
    </row>
    <row r="54" spans="1:31" ht="18.5" x14ac:dyDescent="0.45">
      <c r="A54" s="10" t="s">
        <v>13</v>
      </c>
      <c r="B54" s="8">
        <v>306</v>
      </c>
      <c r="AE54" s="15"/>
    </row>
    <row r="55" spans="1:31" x14ac:dyDescent="0.35">
      <c r="A55" s="10" t="s">
        <v>19</v>
      </c>
      <c r="B55" s="8">
        <v>265</v>
      </c>
    </row>
    <row r="56" spans="1:31" x14ac:dyDescent="0.35">
      <c r="A56" s="10" t="s">
        <v>27</v>
      </c>
      <c r="B56" s="8">
        <v>179</v>
      </c>
    </row>
    <row r="57" spans="1:31" x14ac:dyDescent="0.35">
      <c r="A57" s="10" t="s">
        <v>31</v>
      </c>
      <c r="B57" s="8">
        <v>174</v>
      </c>
    </row>
    <row r="58" spans="1:31" x14ac:dyDescent="0.35">
      <c r="A58" s="10" t="s">
        <v>29</v>
      </c>
      <c r="B58" s="8">
        <v>76</v>
      </c>
    </row>
    <row r="59" spans="1:31" x14ac:dyDescent="0.35">
      <c r="A59" s="10" t="s">
        <v>56</v>
      </c>
      <c r="B59" s="8">
        <v>1000</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2" zoomScaleNormal="100" workbookViewId="0">
      <selection activeCell="A2" sqref="A1:XFD1048576"/>
    </sheetView>
  </sheetViews>
  <sheetFormatPr defaultColWidth="11.81640625" defaultRowHeight="14.5" x14ac:dyDescent="0.35"/>
  <cols>
    <col min="2" max="2" width="14.6328125" customWidth="1"/>
    <col min="7" max="7" width="12.36328125" customWidth="1"/>
    <col min="8" max="8" width="13.90625" customWidth="1"/>
    <col min="10" max="10" width="18.7265625" customWidth="1"/>
    <col min="13" max="13" width="15.5429687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hidden="1" x14ac:dyDescent="0.35"/>
    <row r="1003" spans="1:13" hidden="1" x14ac:dyDescent="0.35"/>
    <row r="1004" spans="1:13" hidden="1" x14ac:dyDescent="0.35"/>
    <row r="1005" spans="1:13" hidden="1" x14ac:dyDescent="0.35"/>
    <row r="1006" spans="1:13" hidden="1" x14ac:dyDescent="0.35"/>
    <row r="1007" spans="1:13" hidden="1" x14ac:dyDescent="0.35"/>
    <row r="1008" spans="1:13" hidden="1" x14ac:dyDescent="0.35"/>
    <row r="1009" hidden="1" x14ac:dyDescent="0.35"/>
    <row r="1010" hidden="1" x14ac:dyDescent="0.35"/>
    <row r="1011" hidden="1" x14ac:dyDescent="0.35"/>
    <row r="1012" hidden="1" x14ac:dyDescent="0.35"/>
    <row r="1013" hidden="1" x14ac:dyDescent="0.35"/>
    <row r="1014" hidden="1" x14ac:dyDescent="0.35"/>
    <row r="1015" hidden="1" x14ac:dyDescent="0.35"/>
    <row r="1016" hidden="1" x14ac:dyDescent="0.35"/>
    <row r="1017" hidden="1" x14ac:dyDescent="0.35"/>
    <row r="1018" hidden="1" x14ac:dyDescent="0.35"/>
    <row r="1019" hidden="1" x14ac:dyDescent="0.35"/>
    <row r="1020" hidden="1" x14ac:dyDescent="0.35"/>
    <row r="1021" hidden="1" x14ac:dyDescent="0.35"/>
    <row r="1022" hidden="1" x14ac:dyDescent="0.35"/>
    <row r="1023" hidden="1" x14ac:dyDescent="0.35"/>
    <row r="1024" hidden="1" x14ac:dyDescent="0.35"/>
    <row r="1025" hidden="1" x14ac:dyDescent="0.35"/>
    <row r="1026" hidden="1" x14ac:dyDescent="0.35"/>
    <row r="1027" hidden="1" x14ac:dyDescent="0.35"/>
  </sheetData>
  <pageMargins left="0.7" right="0.7" top="0.75" bottom="0.75" header="0.3" footer="0.3"/>
  <pageSetup orientation="portrait" horizontalDpi="300" verticalDpi="3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41C31-394A-41C2-A8AC-185480EC129B}">
  <dimension ref="A4"/>
  <sheetViews>
    <sheetView showGridLines="0" showRowColHeaders="0" tabSelected="1" zoomScale="115" zoomScaleNormal="115" workbookViewId="0">
      <selection activeCell="P13" sqref="P13"/>
    </sheetView>
  </sheetViews>
  <sheetFormatPr defaultRowHeight="14.5" x14ac:dyDescent="0.35"/>
  <sheetData>
    <row r="4" spans="1:1" x14ac:dyDescent="0.35">
      <c r="A4">
        <f>GETPIVOTDATA("[Measures].[Count of ID]",KPIs!$A$3)</f>
        <v>1000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A9A133D-D81C-41EA-BB3A-6C477492B83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Text</vt:lpstr>
      <vt:lpstr>KPIs</vt:lpstr>
      <vt:lpstr>Analysis</vt:lpstr>
      <vt:lpstr>bike_buyers</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peace shehu</cp:lastModifiedBy>
  <dcterms:created xsi:type="dcterms:W3CDTF">2022-03-18T02:50:57Z</dcterms:created>
  <dcterms:modified xsi:type="dcterms:W3CDTF">2026-02-22T17:57:39Z</dcterms:modified>
</cp:coreProperties>
</file>